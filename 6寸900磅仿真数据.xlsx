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projects\zpp\data\"/>
    </mc:Choice>
  </mc:AlternateContent>
  <xr:revisionPtr revIDLastSave="0" documentId="13_ncr:1_{01E26559-DE57-4896-8556-226FB6919BF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Sheet1!$J$1:$AJ$151</definedName>
  </definedNames>
  <calcPr calcId="181029"/>
</workbook>
</file>

<file path=xl/calcChain.xml><?xml version="1.0" encoding="utf-8"?>
<calcChain xmlns="http://schemas.openxmlformats.org/spreadsheetml/2006/main">
  <c r="AB52" i="1" l="1"/>
  <c r="AA52" i="1"/>
  <c r="Z52" i="1"/>
  <c r="S46" i="1"/>
  <c r="T46" i="1"/>
  <c r="U46" i="1"/>
  <c r="S52" i="1"/>
  <c r="T52" i="1"/>
  <c r="U52" i="1"/>
  <c r="N88" i="1"/>
  <c r="M88" i="1"/>
  <c r="L88" i="1"/>
  <c r="N82" i="1"/>
  <c r="M82" i="1"/>
  <c r="L82" i="1"/>
  <c r="N76" i="1"/>
  <c r="M76" i="1"/>
  <c r="L76" i="1"/>
  <c r="N52" i="1"/>
  <c r="M52" i="1"/>
  <c r="L52" i="1"/>
  <c r="N46" i="1"/>
  <c r="M46" i="1"/>
  <c r="L46" i="1"/>
  <c r="AG16" i="1"/>
  <c r="AH16" i="1"/>
  <c r="AI16" i="1"/>
  <c r="AG22" i="1"/>
  <c r="AH22" i="1"/>
  <c r="AI22" i="1"/>
  <c r="AG28" i="1"/>
  <c r="AH28" i="1"/>
  <c r="AI28" i="1"/>
  <c r="AG34" i="1"/>
  <c r="AH34" i="1"/>
  <c r="AI34" i="1"/>
  <c r="AG40" i="1"/>
  <c r="AH40" i="1"/>
  <c r="AI40" i="1"/>
  <c r="AG46" i="1"/>
  <c r="AH46" i="1"/>
  <c r="AI46" i="1"/>
  <c r="AG52" i="1"/>
  <c r="AH52" i="1"/>
  <c r="AI52" i="1"/>
  <c r="AG64" i="1"/>
  <c r="AH64" i="1"/>
  <c r="AI64" i="1"/>
  <c r="AG70" i="1"/>
  <c r="AH70" i="1"/>
  <c r="AI70" i="1"/>
  <c r="AG76" i="1"/>
  <c r="AH76" i="1"/>
  <c r="AI76" i="1"/>
  <c r="AG82" i="1"/>
  <c r="AH82" i="1"/>
  <c r="AI82" i="1"/>
  <c r="AG88" i="1"/>
  <c r="AH88" i="1"/>
  <c r="AI88" i="1"/>
  <c r="AI10" i="1"/>
  <c r="AH10" i="1"/>
  <c r="AG10" i="1"/>
  <c r="Z10" i="1"/>
  <c r="Z16" i="1"/>
  <c r="AA16" i="1"/>
  <c r="AB16" i="1"/>
  <c r="Z22" i="1"/>
  <c r="AA22" i="1"/>
  <c r="AB22" i="1"/>
  <c r="Z28" i="1"/>
  <c r="AA28" i="1"/>
  <c r="AB28" i="1"/>
  <c r="Z34" i="1"/>
  <c r="AA34" i="1"/>
  <c r="AB34" i="1"/>
  <c r="Z40" i="1"/>
  <c r="AA40" i="1"/>
  <c r="AB40" i="1"/>
  <c r="Z46" i="1"/>
  <c r="AA46" i="1"/>
  <c r="AB46" i="1"/>
  <c r="Z64" i="1"/>
  <c r="AA64" i="1"/>
  <c r="AB64" i="1"/>
  <c r="Z70" i="1"/>
  <c r="AA70" i="1"/>
  <c r="AB70" i="1"/>
  <c r="Z76" i="1"/>
  <c r="AA76" i="1"/>
  <c r="AB76" i="1"/>
  <c r="Z82" i="1"/>
  <c r="AA82" i="1"/>
  <c r="AB82" i="1"/>
  <c r="Z88" i="1"/>
  <c r="AA88" i="1"/>
  <c r="AB88" i="1"/>
  <c r="AB10" i="1"/>
  <c r="AA10" i="1"/>
  <c r="S16" i="1"/>
  <c r="T16" i="1"/>
  <c r="U16" i="1"/>
  <c r="S22" i="1"/>
  <c r="T22" i="1"/>
  <c r="U22" i="1"/>
  <c r="S28" i="1"/>
  <c r="T28" i="1"/>
  <c r="U28" i="1"/>
  <c r="S34" i="1"/>
  <c r="T34" i="1"/>
  <c r="U34" i="1"/>
  <c r="S40" i="1"/>
  <c r="T40" i="1"/>
  <c r="U40" i="1"/>
  <c r="S64" i="1"/>
  <c r="T64" i="1"/>
  <c r="U64" i="1"/>
  <c r="S70" i="1"/>
  <c r="T70" i="1"/>
  <c r="U70" i="1"/>
  <c r="S76" i="1"/>
  <c r="T76" i="1"/>
  <c r="U76" i="1"/>
  <c r="S82" i="1"/>
  <c r="T82" i="1"/>
  <c r="U82" i="1"/>
  <c r="S88" i="1"/>
  <c r="T88" i="1"/>
  <c r="U88" i="1"/>
  <c r="U10" i="1"/>
  <c r="T10" i="1"/>
  <c r="S10" i="1"/>
  <c r="N64" i="1"/>
  <c r="N70" i="1"/>
  <c r="M64" i="1"/>
  <c r="M70" i="1"/>
  <c r="L64" i="1"/>
  <c r="L70" i="1"/>
  <c r="N40" i="1"/>
  <c r="M40" i="1"/>
  <c r="L40" i="1"/>
  <c r="N34" i="1"/>
  <c r="M34" i="1"/>
  <c r="L34" i="1"/>
</calcChain>
</file>

<file path=xl/sharedStrings.xml><?xml version="1.0" encoding="utf-8"?>
<sst xmlns="http://schemas.openxmlformats.org/spreadsheetml/2006/main" count="1180" uniqueCount="192">
  <si>
    <t>CF-8</t>
    <phoneticPr fontId="2" type="noConversion"/>
  </si>
  <si>
    <t>15MPa</t>
    <phoneticPr fontId="2" type="noConversion"/>
  </si>
  <si>
    <r>
      <rPr>
        <sz val="11"/>
        <color theme="1"/>
        <rFont val="宋体"/>
        <family val="3"/>
        <charset val="134"/>
      </rPr>
      <t>材料</t>
    </r>
  </si>
  <si>
    <r>
      <rPr>
        <sz val="11"/>
        <color theme="1"/>
        <rFont val="宋体"/>
        <family val="3"/>
        <charset val="134"/>
      </rPr>
      <t>温度</t>
    </r>
  </si>
  <si>
    <r>
      <rPr>
        <sz val="11"/>
        <color theme="1"/>
        <rFont val="宋体"/>
        <family val="3"/>
        <charset val="134"/>
      </rPr>
      <t>压力</t>
    </r>
  </si>
  <si>
    <r>
      <rPr>
        <sz val="11"/>
        <color theme="1"/>
        <rFont val="宋体"/>
        <family val="3"/>
        <charset val="134"/>
      </rPr>
      <t>最大应力（</t>
    </r>
    <r>
      <rPr>
        <sz val="11"/>
        <color theme="1"/>
        <rFont val="Times New Roman"/>
        <family val="1"/>
      </rPr>
      <t>MPa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</si>
  <si>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最小应力（</t>
    </r>
    <r>
      <rPr>
        <sz val="11"/>
        <color theme="1"/>
        <rFont val="Times New Roman"/>
        <family val="1"/>
      </rPr>
      <t>MPa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</si>
  <si>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rPr>
        <sz val="11"/>
        <color theme="1"/>
        <rFont val="宋体"/>
        <family val="3"/>
        <charset val="134"/>
      </rPr>
      <t>最大位移（</t>
    </r>
    <r>
      <rPr>
        <sz val="11"/>
        <color theme="1"/>
        <rFont val="Times New Roman"/>
        <family val="1"/>
      </rPr>
      <t>mm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</si>
  <si>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最小位移（</t>
    </r>
    <r>
      <rPr>
        <sz val="11"/>
        <color theme="1"/>
        <rFont val="Times New Roman"/>
        <family val="1"/>
      </rPr>
      <t>mm</t>
    </r>
    <r>
      <rPr>
        <sz val="11"/>
        <color theme="1"/>
        <rFont val="宋体"/>
        <family val="3"/>
        <charset val="134"/>
      </rPr>
      <t>）</t>
    </r>
  </si>
  <si>
    <t>球体</t>
    <phoneticPr fontId="2" type="noConversion"/>
  </si>
  <si>
    <t>阀体</t>
    <phoneticPr fontId="2" type="noConversion"/>
  </si>
  <si>
    <t>阀杆</t>
    <phoneticPr fontId="2" type="noConversion"/>
  </si>
  <si>
    <t>阀盖</t>
    <phoneticPr fontId="2" type="noConversion"/>
  </si>
  <si>
    <r>
      <t>40</t>
    </r>
    <r>
      <rPr>
        <sz val="11"/>
        <color theme="1"/>
        <rFont val="Segoe UI Symbol"/>
        <family val="1"/>
      </rPr>
      <t>℃</t>
    </r>
    <phoneticPr fontId="2" type="noConversion"/>
  </si>
  <si>
    <r>
      <t>20</t>
    </r>
    <r>
      <rPr>
        <sz val="11"/>
        <color theme="1"/>
        <rFont val="Segoe UI Symbol"/>
        <family val="3"/>
      </rPr>
      <t>℃</t>
    </r>
    <phoneticPr fontId="2" type="noConversion"/>
  </si>
  <si>
    <r>
      <t>60℃</t>
    </r>
    <r>
      <rPr>
        <sz val="11"/>
        <color theme="1"/>
        <rFont val="Segoe UI Symbol"/>
        <family val="3"/>
      </rPr>
      <t/>
    </r>
  </si>
  <si>
    <r>
      <t>80℃</t>
    </r>
    <r>
      <rPr>
        <sz val="11"/>
        <color theme="1"/>
        <rFont val="Segoe UI Symbol"/>
        <family val="1"/>
      </rPr>
      <t/>
    </r>
  </si>
  <si>
    <r>
      <t>100℃</t>
    </r>
    <r>
      <rPr>
        <sz val="11"/>
        <color theme="1"/>
        <rFont val="Segoe UI Symbol"/>
        <family val="3"/>
      </rPr>
      <t/>
    </r>
  </si>
  <si>
    <r>
      <t>120℃</t>
    </r>
    <r>
      <rPr>
        <sz val="11"/>
        <color theme="1"/>
        <rFont val="Segoe UI Symbol"/>
        <family val="1"/>
      </rPr>
      <t/>
    </r>
  </si>
  <si>
    <r>
      <t>140℃</t>
    </r>
    <r>
      <rPr>
        <sz val="11"/>
        <color theme="1"/>
        <rFont val="Segoe UI Symbol"/>
        <family val="3"/>
      </rPr>
      <t/>
    </r>
  </si>
  <si>
    <r>
      <t>160℃</t>
    </r>
    <r>
      <rPr>
        <sz val="11"/>
        <color theme="1"/>
        <rFont val="Segoe UI Symbol"/>
        <family val="1"/>
      </rPr>
      <t/>
    </r>
  </si>
  <si>
    <r>
      <t>180℃</t>
    </r>
    <r>
      <rPr>
        <sz val="11"/>
        <color theme="1"/>
        <rFont val="Segoe UI Symbol"/>
        <family val="3"/>
      </rPr>
      <t/>
    </r>
  </si>
  <si>
    <r>
      <t>200℃</t>
    </r>
    <r>
      <rPr>
        <sz val="11"/>
        <color theme="1"/>
        <rFont val="Segoe UI Symbol"/>
        <family val="1"/>
      </rPr>
      <t/>
    </r>
  </si>
  <si>
    <r>
      <t>220℃</t>
    </r>
    <r>
      <rPr>
        <sz val="11"/>
        <color theme="1"/>
        <rFont val="Segoe UI Symbol"/>
        <family val="3"/>
      </rPr>
      <t/>
    </r>
  </si>
  <si>
    <r>
      <t>240℃</t>
    </r>
    <r>
      <rPr>
        <sz val="11"/>
        <color theme="1"/>
        <rFont val="Segoe UI Symbol"/>
        <family val="1"/>
      </rPr>
      <t/>
    </r>
  </si>
  <si>
    <r>
      <t>260℃</t>
    </r>
    <r>
      <rPr>
        <sz val="11"/>
        <color theme="1"/>
        <rFont val="Segoe UI Symbol"/>
        <family val="3"/>
      </rPr>
      <t/>
    </r>
  </si>
  <si>
    <r>
      <t>280℃</t>
    </r>
    <r>
      <rPr>
        <sz val="11"/>
        <color theme="1"/>
        <rFont val="Segoe UI Symbol"/>
        <family val="3"/>
      </rPr>
      <t/>
    </r>
  </si>
  <si>
    <r>
      <t>300℃</t>
    </r>
    <r>
      <rPr>
        <sz val="11"/>
        <color theme="1"/>
        <rFont val="Segoe UI Symbol"/>
        <family val="1"/>
      </rPr>
      <t/>
    </r>
  </si>
  <si>
    <r>
      <t>320℃</t>
    </r>
    <r>
      <rPr>
        <sz val="11"/>
        <color theme="1"/>
        <rFont val="Segoe UI Symbol"/>
        <family val="3"/>
      </rPr>
      <t/>
    </r>
  </si>
  <si>
    <r>
      <t>340℃</t>
    </r>
    <r>
      <rPr>
        <sz val="11"/>
        <color theme="1"/>
        <rFont val="Segoe UI Symbol"/>
        <family val="3"/>
      </rPr>
      <t/>
    </r>
  </si>
  <si>
    <r>
      <t>360℃</t>
    </r>
    <r>
      <rPr>
        <sz val="11"/>
        <color theme="1"/>
        <rFont val="Segoe UI Symbol"/>
        <family val="1"/>
      </rPr>
      <t/>
    </r>
  </si>
  <si>
    <r>
      <t>380℃</t>
    </r>
    <r>
      <rPr>
        <sz val="11"/>
        <color theme="1"/>
        <rFont val="Segoe UI Symbol"/>
        <family val="3"/>
      </rPr>
      <t/>
    </r>
  </si>
  <si>
    <r>
      <t>400℃</t>
    </r>
    <r>
      <rPr>
        <sz val="11"/>
        <color theme="1"/>
        <rFont val="Segoe UI Symbol"/>
        <family val="3"/>
      </rPr>
      <t/>
    </r>
  </si>
  <si>
    <r>
      <t>420℃</t>
    </r>
    <r>
      <rPr>
        <sz val="11"/>
        <color theme="1"/>
        <rFont val="Segoe UI Symbol"/>
        <family val="1"/>
      </rPr>
      <t/>
    </r>
  </si>
  <si>
    <r>
      <t>440℃</t>
    </r>
    <r>
      <rPr>
        <sz val="11"/>
        <color theme="1"/>
        <rFont val="Segoe UI Symbol"/>
        <family val="3"/>
      </rPr>
      <t/>
    </r>
  </si>
  <si>
    <r>
      <t>460℃</t>
    </r>
    <r>
      <rPr>
        <sz val="11"/>
        <color theme="1"/>
        <rFont val="Segoe UI Symbol"/>
        <family val="3"/>
      </rPr>
      <t/>
    </r>
  </si>
  <si>
    <r>
      <t>480℃</t>
    </r>
    <r>
      <rPr>
        <sz val="11"/>
        <color theme="1"/>
        <rFont val="Segoe UI Symbol"/>
        <family val="1"/>
      </rPr>
      <t/>
    </r>
  </si>
  <si>
    <r>
      <t>500℃</t>
    </r>
    <r>
      <rPr>
        <sz val="11"/>
        <color theme="1"/>
        <rFont val="Segoe UI Symbol"/>
        <family val="3"/>
      </rPr>
      <t/>
    </r>
  </si>
  <si>
    <t>10MPa</t>
    <phoneticPr fontId="2" type="noConversion"/>
  </si>
  <si>
    <t>A105</t>
    <phoneticPr fontId="2" type="noConversion"/>
  </si>
  <si>
    <t>17-4PH</t>
    <phoneticPr fontId="2" type="noConversion"/>
  </si>
  <si>
    <t>15MPa</t>
  </si>
  <si>
    <t>20MPa</t>
  </si>
  <si>
    <t>25MPa</t>
  </si>
  <si>
    <t>30MPa</t>
  </si>
  <si>
    <t>5MPa</t>
    <phoneticPr fontId="2" type="noConversion"/>
  </si>
  <si>
    <r>
      <t>4.25*10</t>
    </r>
    <r>
      <rPr>
        <vertAlign val="superscript"/>
        <sz val="11"/>
        <color rgb="FF000000"/>
        <rFont val="Times New Roman"/>
        <family val="1"/>
      </rPr>
      <t>-3</t>
    </r>
  </si>
  <si>
    <r>
      <t>3.85*10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</si>
  <si>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7.7*10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</si>
  <si>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8.5*10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</si>
  <si>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20</t>
    </r>
    <r>
      <rPr>
        <sz val="11"/>
        <color theme="1"/>
        <rFont val="Segoe UI Symbol"/>
        <family val="1"/>
      </rPr>
      <t>℃</t>
    </r>
    <phoneticPr fontId="2" type="noConversion"/>
  </si>
  <si>
    <r>
      <t>500℃</t>
    </r>
    <r>
      <rPr>
        <sz val="11"/>
        <color theme="1"/>
        <rFont val="Segoe UI Symbol"/>
        <family val="1"/>
      </rPr>
      <t/>
    </r>
  </si>
  <si>
    <r>
      <rPr>
        <sz val="11"/>
        <color theme="1"/>
        <rFont val="宋体"/>
        <family val="3"/>
        <charset val="134"/>
      </rPr>
      <t>阀体</t>
    </r>
    <phoneticPr fontId="2" type="noConversion"/>
  </si>
  <si>
    <r>
      <t>3.76*10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</si>
  <si>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3.57*10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</si>
  <si>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7.14*10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</si>
  <si>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7.52*10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</si>
  <si>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100℃</t>
    </r>
    <r>
      <rPr>
        <sz val="11"/>
        <color theme="1"/>
        <rFont val="Segoe UI Symbol"/>
        <family val="1"/>
      </rPr>
      <t/>
    </r>
  </si>
  <si>
    <r>
      <t>180℃</t>
    </r>
    <r>
      <rPr>
        <sz val="11"/>
        <color theme="1"/>
        <rFont val="Segoe UI Symbol"/>
        <family val="1"/>
      </rPr>
      <t/>
    </r>
  </si>
  <si>
    <r>
      <t>220℃</t>
    </r>
    <r>
      <rPr>
        <sz val="11"/>
        <color theme="1"/>
        <rFont val="Segoe UI Symbol"/>
        <family val="1"/>
      </rPr>
      <t/>
    </r>
  </si>
  <si>
    <r>
      <t>260℃</t>
    </r>
    <r>
      <rPr>
        <sz val="11"/>
        <color theme="1"/>
        <rFont val="Segoe UI Symbol"/>
        <family val="1"/>
      </rPr>
      <t/>
    </r>
  </si>
  <si>
    <r>
      <t>340℃</t>
    </r>
    <r>
      <rPr>
        <sz val="11"/>
        <color theme="1"/>
        <rFont val="Segoe UI Symbol"/>
        <family val="1"/>
      </rPr>
      <t/>
    </r>
  </si>
  <si>
    <r>
      <t>380℃</t>
    </r>
    <r>
      <rPr>
        <sz val="11"/>
        <color theme="1"/>
        <rFont val="Segoe UI Symbol"/>
        <family val="1"/>
      </rPr>
      <t/>
    </r>
  </si>
  <si>
    <r>
      <t>460℃</t>
    </r>
    <r>
      <rPr>
        <sz val="11"/>
        <color theme="1"/>
        <rFont val="Segoe UI Symbol"/>
        <family val="1"/>
      </rPr>
      <t/>
    </r>
  </si>
  <si>
    <r>
      <t>60℃</t>
    </r>
    <r>
      <rPr>
        <sz val="11"/>
        <color theme="1"/>
        <rFont val="Segoe UI Symbol"/>
        <family val="1"/>
      </rPr>
      <t/>
    </r>
  </si>
  <si>
    <r>
      <t>140℃</t>
    </r>
    <r>
      <rPr>
        <sz val="11"/>
        <color theme="1"/>
        <rFont val="Segoe UI Symbol"/>
        <family val="1"/>
      </rPr>
      <t/>
    </r>
  </si>
  <si>
    <r>
      <t>3.58*10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</si>
  <si>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3.79*10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</si>
  <si>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7.15*10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</si>
  <si>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7.58*10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</si>
  <si>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3.59*10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</si>
  <si>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3.82*10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</si>
  <si>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7.18*10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</si>
  <si>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7.64*10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</si>
  <si>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3.6*10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</si>
  <si>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3.85*10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</si>
  <si>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7.2*10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</si>
  <si>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7.71*10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</si>
  <si>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3.61*10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</si>
  <si>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3.89*10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</si>
  <si>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7.23*10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</si>
  <si>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7.77*10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</si>
  <si>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3.65*10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</si>
  <si>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3.95*10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</si>
  <si>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7.29*10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</si>
  <si>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7.91*10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</si>
  <si>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3.69*10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</si>
  <si>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4.02*10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</si>
  <si>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7.37*10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</si>
  <si>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8.05*10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</si>
  <si>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3.73*10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</si>
  <si>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4.09*10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</si>
  <si>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7.46*10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</si>
  <si>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8.19*10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</si>
  <si>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3.79*10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</si>
  <si>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4.17*10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</si>
  <si>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7.57*10</t>
    </r>
    <r>
      <rPr>
        <vertAlign val="superscript"/>
        <sz val="11"/>
        <color rgb="FF000000"/>
        <rFont val="宋体"/>
        <family val="3"/>
        <charset val="134"/>
        <scheme val="minor"/>
      </rPr>
      <t>-3</t>
    </r>
    <phoneticPr fontId="2" type="noConversion"/>
  </si>
  <si>
    <r>
      <t>8.34*10</t>
    </r>
    <r>
      <rPr>
        <vertAlign val="superscript"/>
        <sz val="11"/>
        <color theme="1"/>
        <rFont val="宋体"/>
        <family val="3"/>
        <charset val="134"/>
        <scheme val="minor"/>
      </rPr>
      <t>-3</t>
    </r>
    <phoneticPr fontId="2" type="noConversion"/>
  </si>
  <si>
    <r>
      <t>3.92*10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</si>
  <si>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4.33*10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</si>
  <si>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7.84*10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</si>
  <si>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8.66*10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</si>
  <si>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</si>
  <si>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4.41*10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</si>
  <si>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</si>
  <si>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8.83*10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</si>
  <si>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4.09*10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</si>
  <si>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4.5*10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</si>
  <si>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8.18*10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</si>
  <si>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9*10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</si>
  <si>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4.2*10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</si>
  <si>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4.59*10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</si>
  <si>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8.39*10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</si>
  <si>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9.19*10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</si>
  <si>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4.32*10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</si>
  <si>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4.69*10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</si>
  <si>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8.63*10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</si>
  <si>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r>
      <t>9.38*10</t>
    </r>
    <r>
      <rPr>
        <vertAlign val="superscript"/>
        <sz val="11"/>
        <color rgb="FF000000"/>
        <rFont val="Times New Roman"/>
        <family val="1"/>
      </rPr>
      <t>-3</t>
    </r>
    <phoneticPr fontId="2" type="noConversion"/>
  </si>
  <si>
    <t>零件</t>
    <phoneticPr fontId="2" type="noConversion"/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</si>
  <si>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</si>
  <si>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</si>
  <si>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</si>
  <si>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</si>
  <si>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</si>
  <si>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</si>
  <si>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</si>
  <si>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</si>
  <si>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</si>
  <si>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</si>
  <si>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</si>
  <si>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</si>
  <si>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</si>
  <si>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</si>
  <si>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</si>
  <si>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</si>
  <si>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</si>
  <si>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</si>
  <si>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</si>
  <si>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</si>
  <si>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</si>
  <si>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</si>
  <si>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</si>
  <si>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</si>
  <si>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CF-9</t>
  </si>
  <si>
    <t>CF-10</t>
  </si>
  <si>
    <t>CF-11</t>
  </si>
  <si>
    <t>CF-12</t>
  </si>
  <si>
    <t>CF-13</t>
  </si>
  <si>
    <t>CF-14</t>
  </si>
  <si>
    <t>CF-15</t>
  </si>
  <si>
    <t>CF-16</t>
  </si>
  <si>
    <t>CF-17</t>
  </si>
  <si>
    <t>CF-18</t>
  </si>
  <si>
    <t>CF-19</t>
  </si>
  <si>
    <t>CF-20</t>
  </si>
  <si>
    <t>CF-21</t>
  </si>
  <si>
    <t>CF-22</t>
  </si>
  <si>
    <t>CF-23</t>
  </si>
  <si>
    <t>CF-24</t>
  </si>
  <si>
    <t>CF-25</t>
  </si>
  <si>
    <t>CF-26</t>
  </si>
  <si>
    <t>CF-27</t>
  </si>
  <si>
    <t>CF-28</t>
  </si>
  <si>
    <t>CF-29</t>
  </si>
  <si>
    <t>CF-30</t>
  </si>
  <si>
    <t>CF-31</t>
  </si>
  <si>
    <t>CF-32</t>
  </si>
  <si>
    <t>17-5PH</t>
  </si>
  <si>
    <t>17-6PH</t>
  </si>
  <si>
    <t>17-7PH</t>
  </si>
  <si>
    <t>17-8PH</t>
  </si>
  <si>
    <t>17-9PH</t>
  </si>
  <si>
    <t>17-10PH</t>
  </si>
  <si>
    <t>17-11PH</t>
  </si>
  <si>
    <t>17-12PH</t>
  </si>
  <si>
    <t>17-13PH</t>
  </si>
  <si>
    <t>17-14PH</t>
  </si>
  <si>
    <t>17-15PH</t>
  </si>
  <si>
    <t>17-16PH</t>
  </si>
  <si>
    <t>17-17PH</t>
  </si>
  <si>
    <t>17-18PH</t>
  </si>
  <si>
    <t>17-19PH</t>
  </si>
  <si>
    <t>17-20PH</t>
  </si>
  <si>
    <t>17-21PH</t>
  </si>
  <si>
    <t>17-22PH</t>
  </si>
  <si>
    <t>17-23PH</t>
  </si>
  <si>
    <t>17-24PH</t>
  </si>
  <si>
    <t>17-25PH</t>
  </si>
  <si>
    <t>17-26PH</t>
  </si>
  <si>
    <t>17-27PH</t>
  </si>
  <si>
    <t>17-28PH</t>
  </si>
  <si>
    <r>
      <t>20</t>
    </r>
    <r>
      <rPr>
        <sz val="11"/>
        <color theme="1"/>
        <rFont val="宋体"/>
        <family val="3"/>
        <charset val="134"/>
      </rPr>
      <t>℃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</si>
</sst>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name val="Times New Roman"/>
      <family val="1"/>
    </font>
    <font>
      <sz val="10.5"/>
      <name val="Times New Roman"/>
      <family val="1"/>
    </font>
    <font>
      <sz val="11"/>
      <color theme="1"/>
      <name val="Segoe UI Symbol"/>
      <family val="1"/>
    </font>
    <font>
      <sz val="11"/>
      <color theme="1"/>
      <name val="Segoe UI Symbol"/>
      <family val="3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vertAlign val="superscript"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vertAlign val="superscript"/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7"/>
  <sheetViews>
    <sheetView tabSelected="1" topLeftCell="I1" zoomScale="70" zoomScaleNormal="70" workbookViewId="0">
      <selection activeCell="AD22" sqref="AD22"/>
    </sheetView>
  </sheetViews>
  <sheetFormatPr defaultColWidth="9" defaultRowHeight="14.4" x14ac:dyDescent="0.25"/>
  <cols>
    <col min="1" max="1" width="31.5546875" customWidth="1"/>
    <col min="4" max="4" width="9" style="7"/>
    <col min="5" max="5" width="18" customWidth="1"/>
    <col min="6" max="6" width="18.109375" customWidth="1"/>
    <col min="7" max="7" width="14.33203125" customWidth="1"/>
    <col min="8" max="8" width="14.88671875" customWidth="1"/>
    <col min="11" max="11" width="6.5546875" bestFit="1" customWidth="1"/>
    <col min="12" max="13" width="16.6640625" bestFit="1" customWidth="1"/>
    <col min="14" max="15" width="15.88671875" bestFit="1" customWidth="1"/>
    <col min="17" max="17" width="6.88671875" bestFit="1" customWidth="1"/>
    <col min="18" max="18" width="7.88671875" bestFit="1" customWidth="1"/>
    <col min="19" max="20" width="19.109375" bestFit="1" customWidth="1"/>
    <col min="21" max="22" width="17.88671875" bestFit="1" customWidth="1"/>
    <col min="24" max="24" width="6.88671875" bestFit="1" customWidth="1"/>
    <col min="26" max="27" width="19.109375" bestFit="1" customWidth="1"/>
    <col min="28" max="29" width="17.88671875" bestFit="1" customWidth="1"/>
    <col min="33" max="34" width="19.109375" bestFit="1" customWidth="1"/>
    <col min="35" max="36" width="17.88671875" bestFit="1" customWidth="1"/>
  </cols>
  <sheetData>
    <row r="1" spans="1:36" x14ac:dyDescent="0.25">
      <c r="A1" s="13" t="s">
        <v>118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5" t="s">
        <v>118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15" t="s">
        <v>118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15" t="s">
        <v>118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  <c r="AC1" s="2" t="s">
        <v>8</v>
      </c>
      <c r="AD1" s="15" t="s">
        <v>118</v>
      </c>
      <c r="AE1" s="2" t="s">
        <v>3</v>
      </c>
      <c r="AF1" s="2" t="s">
        <v>4</v>
      </c>
      <c r="AG1" s="2" t="s">
        <v>5</v>
      </c>
      <c r="AH1" s="2" t="s">
        <v>6</v>
      </c>
      <c r="AI1" s="2" t="s">
        <v>7</v>
      </c>
      <c r="AJ1" s="2" t="s">
        <v>8</v>
      </c>
    </row>
    <row r="2" spans="1:36" ht="16.5" customHeight="1" x14ac:dyDescent="0.25">
      <c r="A2" s="15" t="s">
        <v>10</v>
      </c>
      <c r="B2" s="16" t="s">
        <v>39</v>
      </c>
      <c r="C2" s="2" t="s">
        <v>14</v>
      </c>
      <c r="D2" s="14" t="s">
        <v>1</v>
      </c>
      <c r="E2" s="3">
        <v>174</v>
      </c>
      <c r="F2" s="3">
        <v>0.106</v>
      </c>
      <c r="G2" s="2">
        <v>8.6999999999999994E-2</v>
      </c>
      <c r="H2" s="2">
        <v>0</v>
      </c>
      <c r="I2" s="16" t="s">
        <v>52</v>
      </c>
      <c r="J2" s="14" t="s">
        <v>50</v>
      </c>
      <c r="K2" s="2" t="s">
        <v>45</v>
      </c>
      <c r="L2" s="2">
        <v>58.1</v>
      </c>
      <c r="M2" s="2">
        <v>3.5200000000000002E-2</v>
      </c>
      <c r="N2" s="2">
        <v>2.9000000000000001E-2</v>
      </c>
      <c r="O2" s="2">
        <v>0</v>
      </c>
      <c r="P2" s="15" t="s">
        <v>12</v>
      </c>
      <c r="Q2" s="14" t="s">
        <v>50</v>
      </c>
      <c r="R2" s="2" t="s">
        <v>45</v>
      </c>
      <c r="S2" s="7">
        <v>80.900000000000006</v>
      </c>
      <c r="T2" s="7">
        <v>0.124</v>
      </c>
      <c r="U2" s="12" t="s">
        <v>54</v>
      </c>
      <c r="V2" s="2">
        <v>0</v>
      </c>
      <c r="W2" s="15" t="s">
        <v>9</v>
      </c>
      <c r="X2" s="14" t="s">
        <v>50</v>
      </c>
      <c r="Y2" s="2" t="s">
        <v>45</v>
      </c>
      <c r="Z2" s="7">
        <v>68.599999999999994</v>
      </c>
      <c r="AA2" s="7">
        <v>0.66300000000000003</v>
      </c>
      <c r="AB2" s="11">
        <v>1.4200000000000001E-2</v>
      </c>
      <c r="AC2" s="2">
        <v>0</v>
      </c>
      <c r="AD2" s="15" t="s">
        <v>11</v>
      </c>
      <c r="AE2" s="14" t="s">
        <v>191</v>
      </c>
      <c r="AF2" s="2" t="s">
        <v>45</v>
      </c>
      <c r="AG2" s="7">
        <v>62.4</v>
      </c>
      <c r="AH2" s="7">
        <v>1.17E-2</v>
      </c>
      <c r="AI2" s="11" t="s">
        <v>53</v>
      </c>
      <c r="AJ2" s="2">
        <v>0</v>
      </c>
    </row>
    <row r="3" spans="1:36" ht="16.8" x14ac:dyDescent="0.25">
      <c r="A3" s="15" t="s">
        <v>10</v>
      </c>
      <c r="B3" s="16" t="s">
        <v>119</v>
      </c>
      <c r="C3" s="2" t="s">
        <v>13</v>
      </c>
      <c r="D3" s="14"/>
      <c r="E3" s="3">
        <v>174</v>
      </c>
      <c r="F3" s="3">
        <v>0.105</v>
      </c>
      <c r="G3" s="2">
        <v>8.72E-2</v>
      </c>
      <c r="H3" s="2">
        <v>0</v>
      </c>
      <c r="I3" s="16" t="s">
        <v>52</v>
      </c>
      <c r="J3" s="14"/>
      <c r="K3" s="2" t="s">
        <v>38</v>
      </c>
      <c r="L3" s="2">
        <v>118</v>
      </c>
      <c r="M3" s="2">
        <v>1.0704</v>
      </c>
      <c r="N3" s="2">
        <v>5.8000000000000003E-2</v>
      </c>
      <c r="O3" s="2">
        <v>0</v>
      </c>
      <c r="P3" s="15" t="s">
        <v>12</v>
      </c>
      <c r="Q3" s="14"/>
      <c r="R3" s="2" t="s">
        <v>38</v>
      </c>
      <c r="S3" s="7">
        <v>162</v>
      </c>
      <c r="T3" s="7">
        <v>0.247</v>
      </c>
      <c r="U3" s="12" t="s">
        <v>55</v>
      </c>
      <c r="V3" s="2">
        <v>0</v>
      </c>
      <c r="W3" s="15" t="s">
        <v>9</v>
      </c>
      <c r="X3" s="14"/>
      <c r="Y3" s="2" t="s">
        <v>38</v>
      </c>
      <c r="Z3" s="7">
        <v>137</v>
      </c>
      <c r="AA3" s="7">
        <v>1.33</v>
      </c>
      <c r="AB3" s="7">
        <v>2.8299999999999999E-2</v>
      </c>
      <c r="AC3" s="2">
        <v>0</v>
      </c>
      <c r="AD3" s="15" t="s">
        <v>11</v>
      </c>
      <c r="AE3" s="14"/>
      <c r="AF3" s="2" t="s">
        <v>38</v>
      </c>
      <c r="AG3" s="7">
        <v>125</v>
      </c>
      <c r="AH3" s="7">
        <v>2.35E-2</v>
      </c>
      <c r="AI3" s="11" t="s">
        <v>56</v>
      </c>
      <c r="AJ3" s="2">
        <v>0</v>
      </c>
    </row>
    <row r="4" spans="1:36" ht="16.8" x14ac:dyDescent="0.25">
      <c r="A4" s="15" t="s">
        <v>10</v>
      </c>
      <c r="B4" s="16" t="s">
        <v>120</v>
      </c>
      <c r="C4" s="2" t="s">
        <v>15</v>
      </c>
      <c r="D4" s="14"/>
      <c r="E4" s="3">
        <v>174</v>
      </c>
      <c r="F4" s="3">
        <v>0.105</v>
      </c>
      <c r="G4" s="2">
        <v>8.7499999999999994E-2</v>
      </c>
      <c r="H4" s="2">
        <v>0</v>
      </c>
      <c r="I4" s="16" t="s">
        <v>52</v>
      </c>
      <c r="J4" s="14"/>
      <c r="K4" s="2" t="s">
        <v>41</v>
      </c>
      <c r="L4" s="3">
        <v>174</v>
      </c>
      <c r="M4" s="3">
        <v>0.106</v>
      </c>
      <c r="N4" s="2">
        <v>8.6999999999999994E-2</v>
      </c>
      <c r="O4" s="2">
        <v>0</v>
      </c>
      <c r="P4" s="15" t="s">
        <v>12</v>
      </c>
      <c r="Q4" s="14"/>
      <c r="R4" s="2" t="s">
        <v>41</v>
      </c>
      <c r="S4" s="3">
        <v>243</v>
      </c>
      <c r="T4" s="3">
        <v>0.371</v>
      </c>
      <c r="U4" s="6">
        <v>1.0699999999999999E-2</v>
      </c>
      <c r="V4" s="2">
        <v>0</v>
      </c>
      <c r="W4" s="15" t="s">
        <v>9</v>
      </c>
      <c r="X4" s="14"/>
      <c r="Y4" s="2" t="s">
        <v>41</v>
      </c>
      <c r="Z4" s="3">
        <v>206</v>
      </c>
      <c r="AA4" s="3">
        <v>1.99</v>
      </c>
      <c r="AB4" s="6">
        <v>4.2500000000000003E-2</v>
      </c>
      <c r="AC4" s="2">
        <v>0</v>
      </c>
      <c r="AD4" s="15" t="s">
        <v>11</v>
      </c>
      <c r="AE4" s="14"/>
      <c r="AF4" s="2" t="s">
        <v>41</v>
      </c>
      <c r="AG4" s="3">
        <v>187</v>
      </c>
      <c r="AH4" s="3">
        <v>3.5200000000000002E-2</v>
      </c>
      <c r="AI4" s="6">
        <v>1.1299999999999999E-2</v>
      </c>
      <c r="AJ4" s="2">
        <v>0</v>
      </c>
    </row>
    <row r="5" spans="1:36" s="1" customFormat="1" ht="16.8" x14ac:dyDescent="0.25">
      <c r="A5" s="15" t="s">
        <v>10</v>
      </c>
      <c r="B5" s="16" t="s">
        <v>121</v>
      </c>
      <c r="C5" s="2" t="s">
        <v>16</v>
      </c>
      <c r="D5" s="14"/>
      <c r="E5" s="3">
        <v>174</v>
      </c>
      <c r="F5" s="3">
        <v>0.105</v>
      </c>
      <c r="G5" s="2">
        <v>8.7800000000000003E-2</v>
      </c>
      <c r="H5" s="2">
        <v>0</v>
      </c>
      <c r="I5" s="16" t="s">
        <v>52</v>
      </c>
      <c r="J5" s="14"/>
      <c r="K5" s="2" t="s">
        <v>42</v>
      </c>
      <c r="L5" s="4">
        <v>232</v>
      </c>
      <c r="M5" s="4">
        <v>0.14099999999999999</v>
      </c>
      <c r="N5" s="4">
        <v>0.11600000000000001</v>
      </c>
      <c r="O5" s="2">
        <v>0</v>
      </c>
      <c r="P5" s="15" t="s">
        <v>12</v>
      </c>
      <c r="Q5" s="14"/>
      <c r="R5" s="2" t="s">
        <v>42</v>
      </c>
      <c r="S5" s="8">
        <v>323</v>
      </c>
      <c r="T5" s="8">
        <v>0.49399999999999999</v>
      </c>
      <c r="U5" s="8">
        <v>1.43E-2</v>
      </c>
      <c r="V5" s="2">
        <v>0</v>
      </c>
      <c r="W5" s="15" t="s">
        <v>9</v>
      </c>
      <c r="X5" s="14"/>
      <c r="Y5" s="2" t="s">
        <v>42</v>
      </c>
      <c r="Z5" s="8">
        <v>275</v>
      </c>
      <c r="AA5" s="8">
        <v>2.65</v>
      </c>
      <c r="AB5" s="8">
        <v>5.67E-2</v>
      </c>
      <c r="AC5" s="2">
        <v>0</v>
      </c>
      <c r="AD5" s="15" t="s">
        <v>11</v>
      </c>
      <c r="AE5" s="14"/>
      <c r="AF5" s="2" t="s">
        <v>42</v>
      </c>
      <c r="AG5" s="8">
        <v>250</v>
      </c>
      <c r="AH5" s="8">
        <v>4.7E-2</v>
      </c>
      <c r="AI5" s="8">
        <v>1.4999999999999999E-2</v>
      </c>
      <c r="AJ5" s="2">
        <v>0</v>
      </c>
    </row>
    <row r="6" spans="1:36" ht="16.8" x14ac:dyDescent="0.25">
      <c r="A6" s="15" t="s">
        <v>10</v>
      </c>
      <c r="B6" s="16" t="s">
        <v>122</v>
      </c>
      <c r="C6" s="2" t="s">
        <v>17</v>
      </c>
      <c r="D6" s="14"/>
      <c r="E6" s="3">
        <v>174</v>
      </c>
      <c r="F6" s="3">
        <v>0.105</v>
      </c>
      <c r="G6" s="2">
        <v>8.8099999999999998E-2</v>
      </c>
      <c r="H6" s="2">
        <v>0</v>
      </c>
      <c r="I6" s="16" t="s">
        <v>52</v>
      </c>
      <c r="J6" s="14"/>
      <c r="K6" s="2" t="s">
        <v>43</v>
      </c>
      <c r="L6" s="2">
        <v>290</v>
      </c>
      <c r="M6" s="2">
        <v>0.17599999999999999</v>
      </c>
      <c r="N6" s="2">
        <v>0.14499999999999999</v>
      </c>
      <c r="O6" s="2">
        <v>0</v>
      </c>
      <c r="P6" s="15" t="s">
        <v>12</v>
      </c>
      <c r="Q6" s="14"/>
      <c r="R6" s="2" t="s">
        <v>43</v>
      </c>
      <c r="S6" s="7">
        <v>404</v>
      </c>
      <c r="T6" s="7">
        <v>0.61799999999999999</v>
      </c>
      <c r="U6" s="7">
        <v>1.78E-2</v>
      </c>
      <c r="V6" s="2">
        <v>0</v>
      </c>
      <c r="W6" s="15" t="s">
        <v>9</v>
      </c>
      <c r="X6" s="14"/>
      <c r="Y6" s="2" t="s">
        <v>43</v>
      </c>
      <c r="Z6" s="7">
        <v>343</v>
      </c>
      <c r="AA6" s="7">
        <v>3.31</v>
      </c>
      <c r="AB6" s="7">
        <v>7.0800000000000002E-2</v>
      </c>
      <c r="AC6" s="2">
        <v>0</v>
      </c>
      <c r="AD6" s="15" t="s">
        <v>11</v>
      </c>
      <c r="AE6" s="14"/>
      <c r="AF6" s="2" t="s">
        <v>43</v>
      </c>
      <c r="AG6" s="7">
        <v>312</v>
      </c>
      <c r="AH6" s="7">
        <v>5.8700000000000002E-2</v>
      </c>
      <c r="AI6" s="7">
        <v>1.8800000000000001E-2</v>
      </c>
      <c r="AJ6" s="2">
        <v>0</v>
      </c>
    </row>
    <row r="7" spans="1:36" ht="16.8" x14ac:dyDescent="0.25">
      <c r="A7" s="15" t="s">
        <v>10</v>
      </c>
      <c r="B7" s="16" t="s">
        <v>123</v>
      </c>
      <c r="C7" s="2" t="s">
        <v>18</v>
      </c>
      <c r="D7" s="14"/>
      <c r="E7" s="3">
        <v>174</v>
      </c>
      <c r="F7" s="3">
        <v>0.105</v>
      </c>
      <c r="G7" s="2">
        <v>8.8499999999999995E-2</v>
      </c>
      <c r="H7" s="2">
        <v>0</v>
      </c>
      <c r="I7" s="16" t="s">
        <v>52</v>
      </c>
      <c r="J7" s="14"/>
      <c r="K7" s="2" t="s">
        <v>44</v>
      </c>
      <c r="L7" s="2">
        <v>348</v>
      </c>
      <c r="M7" s="2">
        <v>0.21099999999999999</v>
      </c>
      <c r="N7" s="2">
        <v>0.17399999999999999</v>
      </c>
      <c r="O7" s="2">
        <v>0</v>
      </c>
      <c r="P7" s="15" t="s">
        <v>12</v>
      </c>
      <c r="Q7" s="14"/>
      <c r="R7" s="2" t="s">
        <v>44</v>
      </c>
      <c r="S7" s="7">
        <v>485</v>
      </c>
      <c r="T7" s="7">
        <v>0.74199999999999999</v>
      </c>
      <c r="U7" s="7">
        <v>2.1399999999999999E-2</v>
      </c>
      <c r="V7" s="2">
        <v>0</v>
      </c>
      <c r="W7" s="15" t="s">
        <v>9</v>
      </c>
      <c r="X7" s="14"/>
      <c r="Y7" s="2" t="s">
        <v>44</v>
      </c>
      <c r="Z7" s="7">
        <v>412</v>
      </c>
      <c r="AA7" s="7">
        <v>3.98</v>
      </c>
      <c r="AB7" s="7">
        <v>8.5000000000000006E-2</v>
      </c>
      <c r="AC7" s="2">
        <v>0</v>
      </c>
      <c r="AD7" s="15" t="s">
        <v>11</v>
      </c>
      <c r="AE7" s="14"/>
      <c r="AF7" s="2" t="s">
        <v>44</v>
      </c>
      <c r="AG7" s="7">
        <v>375</v>
      </c>
      <c r="AH7" s="7">
        <v>7.0499999999999993E-2</v>
      </c>
      <c r="AI7" s="7">
        <v>2.2599999999999999E-2</v>
      </c>
      <c r="AJ7" s="2">
        <v>0</v>
      </c>
    </row>
    <row r="8" spans="1:36" ht="16.8" x14ac:dyDescent="0.25">
      <c r="A8" s="15" t="s">
        <v>10</v>
      </c>
      <c r="B8" s="16" t="s">
        <v>124</v>
      </c>
      <c r="C8" s="2" t="s">
        <v>19</v>
      </c>
      <c r="D8" s="14"/>
      <c r="E8" s="3">
        <v>174</v>
      </c>
      <c r="F8" s="3">
        <v>0.104</v>
      </c>
      <c r="G8" s="2">
        <v>8.8900000000000007E-2</v>
      </c>
      <c r="H8" s="2">
        <v>0</v>
      </c>
      <c r="I8" s="16" t="s">
        <v>52</v>
      </c>
      <c r="J8" s="14" t="s">
        <v>13</v>
      </c>
      <c r="K8" s="2" t="s">
        <v>45</v>
      </c>
      <c r="L8" s="2">
        <v>58</v>
      </c>
      <c r="M8" s="2">
        <v>3.5099999999999999E-2</v>
      </c>
      <c r="N8" s="2">
        <v>2.9100000000000001E-2</v>
      </c>
      <c r="O8" s="2">
        <v>0</v>
      </c>
      <c r="P8" s="15" t="s">
        <v>12</v>
      </c>
      <c r="Q8" s="14" t="s">
        <v>13</v>
      </c>
      <c r="R8" s="2" t="s">
        <v>45</v>
      </c>
      <c r="S8" s="7">
        <v>80.8</v>
      </c>
      <c r="T8" s="2">
        <v>0.124</v>
      </c>
      <c r="U8" s="12" t="s">
        <v>66</v>
      </c>
      <c r="V8" s="2">
        <v>0</v>
      </c>
      <c r="W8" s="15" t="s">
        <v>9</v>
      </c>
      <c r="X8" s="14" t="s">
        <v>13</v>
      </c>
      <c r="Y8" s="2" t="s">
        <v>45</v>
      </c>
      <c r="Z8" s="2">
        <v>68.599999999999994</v>
      </c>
      <c r="AA8" s="2">
        <v>0.66600000000000004</v>
      </c>
      <c r="AB8" s="2">
        <v>1.43E-2</v>
      </c>
      <c r="AC8" s="2">
        <v>0</v>
      </c>
      <c r="AD8" s="15" t="s">
        <v>11</v>
      </c>
      <c r="AE8" s="14" t="s">
        <v>13</v>
      </c>
      <c r="AF8" s="2" t="s">
        <v>45</v>
      </c>
      <c r="AG8" s="2">
        <v>62.7</v>
      </c>
      <c r="AH8" s="2">
        <v>1.18E-2</v>
      </c>
      <c r="AI8" s="11" t="s">
        <v>67</v>
      </c>
      <c r="AJ8" s="2">
        <v>0</v>
      </c>
    </row>
    <row r="9" spans="1:36" ht="16.8" x14ac:dyDescent="0.25">
      <c r="A9" s="15" t="s">
        <v>10</v>
      </c>
      <c r="B9" s="16" t="s">
        <v>125</v>
      </c>
      <c r="C9" s="2" t="s">
        <v>20</v>
      </c>
      <c r="D9" s="14"/>
      <c r="E9" s="3">
        <v>174</v>
      </c>
      <c r="F9" s="3">
        <v>0.104</v>
      </c>
      <c r="G9" s="2">
        <v>8.9300000000000004E-2</v>
      </c>
      <c r="H9" s="2">
        <v>0</v>
      </c>
      <c r="I9" s="16" t="s">
        <v>52</v>
      </c>
      <c r="J9" s="14"/>
      <c r="K9" s="2" t="s">
        <v>38</v>
      </c>
      <c r="L9" s="2">
        <v>116</v>
      </c>
      <c r="M9" s="2">
        <v>7.0300000000000001E-2</v>
      </c>
      <c r="N9" s="2">
        <v>5.8200000000000002E-2</v>
      </c>
      <c r="O9" s="2">
        <v>0</v>
      </c>
      <c r="P9" s="15" t="s">
        <v>12</v>
      </c>
      <c r="Q9" s="14"/>
      <c r="R9" s="2" t="s">
        <v>38</v>
      </c>
      <c r="S9" s="2">
        <v>162</v>
      </c>
      <c r="T9" s="2">
        <v>0.247</v>
      </c>
      <c r="U9" s="12" t="s">
        <v>68</v>
      </c>
      <c r="V9" s="2">
        <v>0</v>
      </c>
      <c r="W9" s="15" t="s">
        <v>9</v>
      </c>
      <c r="X9" s="14"/>
      <c r="Y9" s="2" t="s">
        <v>38</v>
      </c>
      <c r="Z9" s="2">
        <v>137</v>
      </c>
      <c r="AA9" s="2">
        <v>1.33</v>
      </c>
      <c r="AB9" s="2">
        <v>2.86E-2</v>
      </c>
      <c r="AC9" s="2">
        <v>0</v>
      </c>
      <c r="AD9" s="15" t="s">
        <v>11</v>
      </c>
      <c r="AE9" s="14"/>
      <c r="AF9" s="2" t="s">
        <v>38</v>
      </c>
      <c r="AG9" s="2">
        <v>125</v>
      </c>
      <c r="AH9" s="2">
        <v>2.3699999999999999E-2</v>
      </c>
      <c r="AI9" s="11" t="s">
        <v>69</v>
      </c>
      <c r="AJ9" s="2">
        <v>0</v>
      </c>
    </row>
    <row r="10" spans="1:36" ht="16.8" x14ac:dyDescent="0.25">
      <c r="A10" s="15" t="s">
        <v>10</v>
      </c>
      <c r="B10" s="16" t="s">
        <v>126</v>
      </c>
      <c r="C10" s="2" t="s">
        <v>21</v>
      </c>
      <c r="D10" s="14"/>
      <c r="E10" s="3">
        <v>173</v>
      </c>
      <c r="F10" s="3">
        <v>0.104</v>
      </c>
      <c r="G10" s="2">
        <v>8.9800000000000005E-2</v>
      </c>
      <c r="H10" s="2">
        <v>0</v>
      </c>
      <c r="I10" s="16" t="s">
        <v>52</v>
      </c>
      <c r="J10" s="14"/>
      <c r="K10" s="2" t="s">
        <v>41</v>
      </c>
      <c r="L10" s="3">
        <v>174</v>
      </c>
      <c r="M10" s="3">
        <v>0.105</v>
      </c>
      <c r="N10" s="2">
        <v>8.72E-2</v>
      </c>
      <c r="O10" s="2">
        <v>0</v>
      </c>
      <c r="P10" s="15" t="s">
        <v>12</v>
      </c>
      <c r="Q10" s="14"/>
      <c r="R10" s="2" t="s">
        <v>41</v>
      </c>
      <c r="S10" s="2">
        <f>VLOOKUP(Q8,$C$27:$H$51,3,FALSE)</f>
        <v>243</v>
      </c>
      <c r="T10" s="3">
        <f>VLOOKUP(Q8,$C$27:$H$51,4,FALSE)</f>
        <v>0.371</v>
      </c>
      <c r="U10" s="2">
        <f>VLOOKUP(Q8,$C$27:$H$51,5,FALSE)</f>
        <v>1.0699999999999999E-2</v>
      </c>
      <c r="V10" s="2">
        <v>0</v>
      </c>
      <c r="W10" s="15" t="s">
        <v>9</v>
      </c>
      <c r="X10" s="14"/>
      <c r="Y10" s="2" t="s">
        <v>41</v>
      </c>
      <c r="Z10" s="3">
        <f>VLOOKUP(X8,$C$52:$H$76,3,FALSE)</f>
        <v>206</v>
      </c>
      <c r="AA10" s="3">
        <f>VLOOKUP(X8,$C$52:$H$76,4,FALSE)</f>
        <v>2</v>
      </c>
      <c r="AB10" s="2">
        <f>VLOOKUP(X8,$C$52:$H$76,5,FALSE)</f>
        <v>4.2900000000000001E-2</v>
      </c>
      <c r="AC10" s="2">
        <v>0</v>
      </c>
      <c r="AD10" s="15" t="s">
        <v>11</v>
      </c>
      <c r="AE10" s="14"/>
      <c r="AF10" s="2" t="s">
        <v>41</v>
      </c>
      <c r="AG10" s="3">
        <f>VLOOKUP(AE8,$C$77:$H$101,3,FALSE)</f>
        <v>188</v>
      </c>
      <c r="AH10" s="3">
        <f>VLOOKUP(AE8,$C$77:$H$101,4,FALSE)</f>
        <v>3.5499999999999997E-2</v>
      </c>
      <c r="AI10" s="2">
        <f>VLOOKUP(AE8,$C$77:$H$101,5,FALSE)</f>
        <v>1.14E-2</v>
      </c>
      <c r="AJ10" s="2">
        <v>0</v>
      </c>
    </row>
    <row r="11" spans="1:36" ht="16.8" x14ac:dyDescent="0.25">
      <c r="A11" s="15" t="s">
        <v>10</v>
      </c>
      <c r="B11" s="16" t="s">
        <v>127</v>
      </c>
      <c r="C11" s="2" t="s">
        <v>22</v>
      </c>
      <c r="D11" s="14"/>
      <c r="E11" s="3">
        <v>173</v>
      </c>
      <c r="F11" s="3">
        <v>0.104</v>
      </c>
      <c r="G11" s="2">
        <v>9.0399999999999994E-2</v>
      </c>
      <c r="H11" s="2">
        <v>0</v>
      </c>
      <c r="I11" s="16" t="s">
        <v>52</v>
      </c>
      <c r="J11" s="14"/>
      <c r="K11" s="2" t="s">
        <v>42</v>
      </c>
      <c r="L11" s="4">
        <v>232</v>
      </c>
      <c r="M11" s="4">
        <v>0.14099999999999999</v>
      </c>
      <c r="N11" s="4">
        <v>0.11600000000000001</v>
      </c>
      <c r="O11" s="2">
        <v>0</v>
      </c>
      <c r="P11" s="15" t="s">
        <v>12</v>
      </c>
      <c r="Q11" s="14"/>
      <c r="R11" s="2" t="s">
        <v>42</v>
      </c>
      <c r="S11" s="2">
        <v>323</v>
      </c>
      <c r="T11" s="3">
        <v>0.495</v>
      </c>
      <c r="U11" s="2">
        <v>1.43E-2</v>
      </c>
      <c r="V11" s="2">
        <v>0</v>
      </c>
      <c r="W11" s="15" t="s">
        <v>9</v>
      </c>
      <c r="X11" s="14"/>
      <c r="Y11" s="2" t="s">
        <v>42</v>
      </c>
      <c r="Z11" s="3">
        <v>274</v>
      </c>
      <c r="AA11" s="3">
        <v>2.66</v>
      </c>
      <c r="AB11" s="2">
        <v>5.7200000000000001E-2</v>
      </c>
      <c r="AC11" s="2">
        <v>0</v>
      </c>
      <c r="AD11" s="15" t="s">
        <v>11</v>
      </c>
      <c r="AE11" s="14"/>
      <c r="AF11" s="2" t="s">
        <v>42</v>
      </c>
      <c r="AG11" s="3">
        <v>251</v>
      </c>
      <c r="AH11" s="3">
        <v>4.7399999999999998E-2</v>
      </c>
      <c r="AI11" s="2">
        <v>1.52E-2</v>
      </c>
      <c r="AJ11" s="2">
        <v>0</v>
      </c>
    </row>
    <row r="12" spans="1:36" ht="16.8" x14ac:dyDescent="0.25">
      <c r="A12" s="15" t="s">
        <v>10</v>
      </c>
      <c r="B12" s="16" t="s">
        <v>128</v>
      </c>
      <c r="C12" s="2" t="s">
        <v>23</v>
      </c>
      <c r="D12" s="14"/>
      <c r="E12" s="3">
        <v>173</v>
      </c>
      <c r="F12" s="3">
        <v>0.104</v>
      </c>
      <c r="G12" s="2">
        <v>9.0899999999999995E-2</v>
      </c>
      <c r="H12" s="2">
        <v>0</v>
      </c>
      <c r="I12" s="16" t="s">
        <v>52</v>
      </c>
      <c r="J12" s="14"/>
      <c r="K12" s="2" t="s">
        <v>43</v>
      </c>
      <c r="L12" s="2">
        <v>290</v>
      </c>
      <c r="M12" s="2">
        <v>0.17599999999999999</v>
      </c>
      <c r="N12" s="2">
        <v>0.14499999999999999</v>
      </c>
      <c r="O12" s="2">
        <v>0</v>
      </c>
      <c r="P12" s="15" t="s">
        <v>12</v>
      </c>
      <c r="Q12" s="14"/>
      <c r="R12" s="2" t="s">
        <v>43</v>
      </c>
      <c r="S12" s="7">
        <v>404</v>
      </c>
      <c r="T12" s="7">
        <v>0.61799999999999999</v>
      </c>
      <c r="U12" s="7">
        <v>1.7899999999999999E-2</v>
      </c>
      <c r="V12" s="2">
        <v>0</v>
      </c>
      <c r="W12" s="15" t="s">
        <v>9</v>
      </c>
      <c r="X12" s="14"/>
      <c r="Y12" s="2" t="s">
        <v>43</v>
      </c>
      <c r="Z12" s="7">
        <v>343</v>
      </c>
      <c r="AA12" s="7">
        <v>3.33</v>
      </c>
      <c r="AB12" s="7">
        <v>7.1499999999999994E-2</v>
      </c>
      <c r="AC12" s="2">
        <v>0</v>
      </c>
      <c r="AD12" s="15" t="s">
        <v>11</v>
      </c>
      <c r="AE12" s="14"/>
      <c r="AF12" s="2" t="s">
        <v>43</v>
      </c>
      <c r="AG12" s="7">
        <v>314</v>
      </c>
      <c r="AH12" s="7">
        <v>5.9200000000000003E-2</v>
      </c>
      <c r="AI12" s="2">
        <v>1.89E-2</v>
      </c>
      <c r="AJ12" s="2">
        <v>0</v>
      </c>
    </row>
    <row r="13" spans="1:36" ht="16.8" x14ac:dyDescent="0.25">
      <c r="A13" s="15" t="s">
        <v>10</v>
      </c>
      <c r="B13" s="16" t="s">
        <v>129</v>
      </c>
      <c r="C13" s="2" t="s">
        <v>24</v>
      </c>
      <c r="D13" s="14"/>
      <c r="E13" s="3">
        <v>173</v>
      </c>
      <c r="F13" s="3">
        <v>0.10299999999999999</v>
      </c>
      <c r="G13" s="2">
        <v>9.1600000000000001E-2</v>
      </c>
      <c r="H13" s="2">
        <v>0</v>
      </c>
      <c r="I13" s="16" t="s">
        <v>52</v>
      </c>
      <c r="J13" s="14"/>
      <c r="K13" s="2" t="s">
        <v>44</v>
      </c>
      <c r="L13" s="2">
        <v>348</v>
      </c>
      <c r="M13" s="2">
        <v>0.21099999999999999</v>
      </c>
      <c r="N13" s="2">
        <v>0.17399999999999999</v>
      </c>
      <c r="O13" s="2">
        <v>0</v>
      </c>
      <c r="P13" s="15" t="s">
        <v>12</v>
      </c>
      <c r="Q13" s="14"/>
      <c r="R13" s="2" t="s">
        <v>44</v>
      </c>
      <c r="S13" s="7">
        <v>485</v>
      </c>
      <c r="T13" s="7">
        <v>0.74199999999999999</v>
      </c>
      <c r="U13" s="7">
        <v>2.1499999999999998E-2</v>
      </c>
      <c r="V13" s="2">
        <v>0</v>
      </c>
      <c r="W13" s="15" t="s">
        <v>9</v>
      </c>
      <c r="X13" s="14"/>
      <c r="Y13" s="2" t="s">
        <v>44</v>
      </c>
      <c r="Z13" s="7">
        <v>411</v>
      </c>
      <c r="AA13" s="7">
        <v>4</v>
      </c>
      <c r="AB13" s="7">
        <v>8.5800000000000001E-2</v>
      </c>
      <c r="AC13" s="2">
        <v>0</v>
      </c>
      <c r="AD13" s="15" t="s">
        <v>11</v>
      </c>
      <c r="AE13" s="14"/>
      <c r="AF13" s="2" t="s">
        <v>44</v>
      </c>
      <c r="AG13" s="7">
        <v>376</v>
      </c>
      <c r="AH13" s="7">
        <v>7.0999999999999994E-2</v>
      </c>
      <c r="AI13" s="7">
        <v>2.2700000000000001E-2</v>
      </c>
      <c r="AJ13" s="2">
        <v>0</v>
      </c>
    </row>
    <row r="14" spans="1:36" ht="16.8" x14ac:dyDescent="0.25">
      <c r="A14" s="15" t="s">
        <v>10</v>
      </c>
      <c r="B14" s="16" t="s">
        <v>130</v>
      </c>
      <c r="C14" s="2" t="s">
        <v>25</v>
      </c>
      <c r="D14" s="14"/>
      <c r="E14" s="3">
        <v>173</v>
      </c>
      <c r="F14" s="3">
        <v>0.10299999999999999</v>
      </c>
      <c r="G14" s="2">
        <v>9.2200000000000004E-2</v>
      </c>
      <c r="H14" s="2">
        <v>0</v>
      </c>
      <c r="I14" s="16" t="s">
        <v>52</v>
      </c>
      <c r="J14" s="14" t="s">
        <v>64</v>
      </c>
      <c r="K14" s="2" t="s">
        <v>45</v>
      </c>
      <c r="L14" s="2">
        <v>58</v>
      </c>
      <c r="M14" s="2">
        <v>3.5099999999999999E-2</v>
      </c>
      <c r="N14" s="2">
        <v>2.92E-2</v>
      </c>
      <c r="O14" s="2">
        <v>0</v>
      </c>
      <c r="P14" s="15" t="s">
        <v>12</v>
      </c>
      <c r="Q14" s="14" t="s">
        <v>64</v>
      </c>
      <c r="R14" s="2" t="s">
        <v>45</v>
      </c>
      <c r="S14" s="7">
        <v>80.8</v>
      </c>
      <c r="T14" s="2">
        <v>0.124</v>
      </c>
      <c r="U14" s="12" t="s">
        <v>70</v>
      </c>
      <c r="V14" s="2">
        <v>0</v>
      </c>
      <c r="W14" s="15" t="s">
        <v>9</v>
      </c>
      <c r="X14" s="14" t="s">
        <v>64</v>
      </c>
      <c r="Y14" s="2" t="s">
        <v>45</v>
      </c>
      <c r="Z14" s="2">
        <v>68.5</v>
      </c>
      <c r="AA14" s="2">
        <v>0.67</v>
      </c>
      <c r="AB14" s="2">
        <v>1.44E-2</v>
      </c>
      <c r="AC14" s="2">
        <v>0</v>
      </c>
      <c r="AD14" s="15" t="s">
        <v>11</v>
      </c>
      <c r="AE14" s="14" t="s">
        <v>64</v>
      </c>
      <c r="AF14" s="2" t="s">
        <v>45</v>
      </c>
      <c r="AG14" s="2">
        <v>63</v>
      </c>
      <c r="AH14" s="2">
        <v>1.1900000000000001E-2</v>
      </c>
      <c r="AI14" s="11" t="s">
        <v>71</v>
      </c>
      <c r="AJ14" s="2">
        <v>0</v>
      </c>
    </row>
    <row r="15" spans="1:36" ht="16.8" x14ac:dyDescent="0.25">
      <c r="A15" s="15" t="s">
        <v>10</v>
      </c>
      <c r="B15" s="16" t="s">
        <v>131</v>
      </c>
      <c r="C15" s="2" t="s">
        <v>26</v>
      </c>
      <c r="D15" s="14"/>
      <c r="E15" s="3">
        <v>173</v>
      </c>
      <c r="F15" s="3">
        <v>0.10299999999999999</v>
      </c>
      <c r="G15" s="2">
        <v>9.2999999999999999E-2</v>
      </c>
      <c r="H15" s="2">
        <v>0</v>
      </c>
      <c r="I15" s="16" t="s">
        <v>52</v>
      </c>
      <c r="J15" s="14"/>
      <c r="K15" s="2" t="s">
        <v>38</v>
      </c>
      <c r="L15" s="2">
        <v>116</v>
      </c>
      <c r="M15" s="2">
        <v>7.0099999999999996E-2</v>
      </c>
      <c r="N15" s="2">
        <v>5.8299999999999998E-2</v>
      </c>
      <c r="O15" s="2">
        <v>0</v>
      </c>
      <c r="P15" s="15" t="s">
        <v>12</v>
      </c>
      <c r="Q15" s="14"/>
      <c r="R15" s="2" t="s">
        <v>38</v>
      </c>
      <c r="S15" s="2">
        <v>162</v>
      </c>
      <c r="T15" s="2">
        <v>0.248</v>
      </c>
      <c r="U15" s="12" t="s">
        <v>72</v>
      </c>
      <c r="V15" s="2">
        <v>0</v>
      </c>
      <c r="W15" s="15" t="s">
        <v>9</v>
      </c>
      <c r="X15" s="14"/>
      <c r="Y15" s="2" t="s">
        <v>38</v>
      </c>
      <c r="Z15" s="2">
        <v>137</v>
      </c>
      <c r="AA15" s="2">
        <v>1.34</v>
      </c>
      <c r="AB15" s="2">
        <v>2.8899999999999999E-2</v>
      </c>
      <c r="AC15" s="2">
        <v>0</v>
      </c>
      <c r="AD15" s="15" t="s">
        <v>11</v>
      </c>
      <c r="AE15" s="14"/>
      <c r="AF15" s="2" t="s">
        <v>38</v>
      </c>
      <c r="AG15" s="3">
        <v>126</v>
      </c>
      <c r="AH15" s="2">
        <v>2.3900000000000001E-2</v>
      </c>
      <c r="AI15" s="11" t="s">
        <v>73</v>
      </c>
      <c r="AJ15" s="2">
        <v>0</v>
      </c>
    </row>
    <row r="16" spans="1:36" ht="16.8" x14ac:dyDescent="0.25">
      <c r="A16" s="15" t="s">
        <v>10</v>
      </c>
      <c r="B16" s="16" t="s">
        <v>132</v>
      </c>
      <c r="C16" s="2" t="s">
        <v>27</v>
      </c>
      <c r="D16" s="14"/>
      <c r="E16" s="3">
        <v>173</v>
      </c>
      <c r="F16" s="3">
        <v>0.10299999999999999</v>
      </c>
      <c r="G16" s="2">
        <v>9.3700000000000006E-2</v>
      </c>
      <c r="H16" s="2">
        <v>0</v>
      </c>
      <c r="I16" s="16" t="s">
        <v>52</v>
      </c>
      <c r="J16" s="14"/>
      <c r="K16" s="2" t="s">
        <v>41</v>
      </c>
      <c r="L16" s="3">
        <v>174</v>
      </c>
      <c r="M16" s="3">
        <v>0.105</v>
      </c>
      <c r="N16" s="2">
        <v>8.7499999999999994E-2</v>
      </c>
      <c r="O16" s="2">
        <v>0</v>
      </c>
      <c r="P16" s="15" t="s">
        <v>12</v>
      </c>
      <c r="Q16" s="14"/>
      <c r="R16" s="2" t="s">
        <v>41</v>
      </c>
      <c r="S16" s="2">
        <f t="shared" ref="S16:S28" si="0">VLOOKUP(Q14,$C$27:$H$51,3,FALSE)</f>
        <v>243</v>
      </c>
      <c r="T16" s="3">
        <f t="shared" ref="T16:T28" si="1">VLOOKUP(Q14,$C$27:$H$51,4,FALSE)</f>
        <v>0.371</v>
      </c>
      <c r="U16" s="2">
        <f t="shared" ref="U16:U28" si="2">VLOOKUP(Q14,$C$27:$H$51,5,FALSE)</f>
        <v>1.0800000000000001E-2</v>
      </c>
      <c r="V16" s="2">
        <v>0</v>
      </c>
      <c r="W16" s="15" t="s">
        <v>9</v>
      </c>
      <c r="X16" s="14"/>
      <c r="Y16" s="2" t="s">
        <v>41</v>
      </c>
      <c r="Z16" s="3">
        <f t="shared" ref="Z16:Z28" si="3">VLOOKUP(X14,$C$52:$H$76,3,FALSE)</f>
        <v>205</v>
      </c>
      <c r="AA16" s="3">
        <f t="shared" ref="AA16:AA28" si="4">VLOOKUP(X14,$C$52:$H$76,4,FALSE)</f>
        <v>2.0099999999999998</v>
      </c>
      <c r="AB16" s="2">
        <f t="shared" ref="AB16:AB28" si="5">VLOOKUP(X14,$C$52:$H$76,5,FALSE)</f>
        <v>4.3299999999999998E-2</v>
      </c>
      <c r="AC16" s="2">
        <v>0</v>
      </c>
      <c r="AD16" s="15" t="s">
        <v>11</v>
      </c>
      <c r="AE16" s="14"/>
      <c r="AF16" s="2" t="s">
        <v>41</v>
      </c>
      <c r="AG16" s="3">
        <f t="shared" ref="AG16:AG28" si="6">VLOOKUP(AE14,$C$77:$H$101,3,FALSE)</f>
        <v>189</v>
      </c>
      <c r="AH16" s="3">
        <f t="shared" ref="AH16:AH28" si="7">VLOOKUP(AE14,$C$77:$H$101,4,FALSE)</f>
        <v>3.5799999999999998E-2</v>
      </c>
      <c r="AI16" s="2">
        <f t="shared" ref="AI16:AI28" si="8">VLOOKUP(AE14,$C$77:$H$101,5,FALSE)</f>
        <v>1.15E-2</v>
      </c>
      <c r="AJ16" s="2">
        <v>0</v>
      </c>
    </row>
    <row r="17" spans="1:36" ht="16.8" x14ac:dyDescent="0.25">
      <c r="A17" s="15" t="s">
        <v>10</v>
      </c>
      <c r="B17" s="16" t="s">
        <v>133</v>
      </c>
      <c r="C17" s="2" t="s">
        <v>28</v>
      </c>
      <c r="D17" s="14"/>
      <c r="E17" s="3">
        <v>173</v>
      </c>
      <c r="F17" s="3">
        <v>0.10299999999999999</v>
      </c>
      <c r="G17" s="2">
        <v>9.4600000000000004E-2</v>
      </c>
      <c r="H17" s="2">
        <v>0</v>
      </c>
      <c r="I17" s="16" t="s">
        <v>52</v>
      </c>
      <c r="J17" s="14"/>
      <c r="K17" s="2" t="s">
        <v>42</v>
      </c>
      <c r="L17" s="4">
        <v>232</v>
      </c>
      <c r="M17" s="4">
        <v>0.14000000000000001</v>
      </c>
      <c r="N17" s="4">
        <v>0.11700000000000001</v>
      </c>
      <c r="O17" s="2">
        <v>0</v>
      </c>
      <c r="P17" s="15" t="s">
        <v>12</v>
      </c>
      <c r="Q17" s="14"/>
      <c r="R17" s="2" t="s">
        <v>42</v>
      </c>
      <c r="S17" s="2">
        <v>323</v>
      </c>
      <c r="T17" s="3">
        <v>0.495</v>
      </c>
      <c r="U17" s="2">
        <v>1.44E-2</v>
      </c>
      <c r="V17" s="2">
        <v>0</v>
      </c>
      <c r="W17" s="15" t="s">
        <v>9</v>
      </c>
      <c r="X17" s="14"/>
      <c r="Y17" s="2" t="s">
        <v>42</v>
      </c>
      <c r="Z17" s="3">
        <v>274</v>
      </c>
      <c r="AA17" s="3">
        <v>2.68</v>
      </c>
      <c r="AB17" s="2">
        <v>5.7700000000000001E-2</v>
      </c>
      <c r="AC17" s="2">
        <v>0</v>
      </c>
      <c r="AD17" s="15" t="s">
        <v>11</v>
      </c>
      <c r="AE17" s="14"/>
      <c r="AF17" s="2" t="s">
        <v>42</v>
      </c>
      <c r="AG17" s="3">
        <v>252</v>
      </c>
      <c r="AH17" s="3">
        <v>4.7800000000000002E-2</v>
      </c>
      <c r="AI17" s="2">
        <v>1.5299999999999999E-2</v>
      </c>
      <c r="AJ17" s="2">
        <v>0</v>
      </c>
    </row>
    <row r="18" spans="1:36" ht="16.8" x14ac:dyDescent="0.25">
      <c r="A18" s="15" t="s">
        <v>10</v>
      </c>
      <c r="B18" s="16" t="s">
        <v>134</v>
      </c>
      <c r="C18" s="2" t="s">
        <v>29</v>
      </c>
      <c r="D18" s="14"/>
      <c r="E18" s="3">
        <v>173</v>
      </c>
      <c r="F18" s="3">
        <v>0.10299999999999999</v>
      </c>
      <c r="G18" s="2">
        <v>9.5500000000000002E-2</v>
      </c>
      <c r="H18" s="2">
        <v>0</v>
      </c>
      <c r="I18" s="16" t="s">
        <v>52</v>
      </c>
      <c r="J18" s="14"/>
      <c r="K18" s="2" t="s">
        <v>43</v>
      </c>
      <c r="L18" s="2">
        <v>290</v>
      </c>
      <c r="M18" s="2">
        <v>0.17499999999999999</v>
      </c>
      <c r="N18" s="2">
        <v>0.14599999999999999</v>
      </c>
      <c r="O18" s="2">
        <v>0</v>
      </c>
      <c r="P18" s="15" t="s">
        <v>12</v>
      </c>
      <c r="Q18" s="14"/>
      <c r="R18" s="2" t="s">
        <v>43</v>
      </c>
      <c r="S18" s="7">
        <v>404</v>
      </c>
      <c r="T18" s="7">
        <v>0.61899999999999999</v>
      </c>
      <c r="U18" s="7">
        <v>1.7899999999999999E-2</v>
      </c>
      <c r="V18" s="2">
        <v>0</v>
      </c>
      <c r="W18" s="15" t="s">
        <v>9</v>
      </c>
      <c r="X18" s="14"/>
      <c r="Y18" s="2" t="s">
        <v>43</v>
      </c>
      <c r="Z18" s="7">
        <v>342</v>
      </c>
      <c r="AA18" s="7">
        <v>3.35</v>
      </c>
      <c r="AB18" s="7">
        <v>7.2099999999999997E-2</v>
      </c>
      <c r="AC18" s="2">
        <v>0</v>
      </c>
      <c r="AD18" s="15" t="s">
        <v>11</v>
      </c>
      <c r="AE18" s="14"/>
      <c r="AF18" s="2" t="s">
        <v>43</v>
      </c>
      <c r="AG18" s="7">
        <v>315</v>
      </c>
      <c r="AH18" s="7">
        <v>5.9700000000000003E-2</v>
      </c>
      <c r="AI18" s="2">
        <v>1.9099999999999999E-2</v>
      </c>
      <c r="AJ18" s="2">
        <v>0</v>
      </c>
    </row>
    <row r="19" spans="1:36" ht="16.8" x14ac:dyDescent="0.25">
      <c r="A19" s="15" t="s">
        <v>10</v>
      </c>
      <c r="B19" s="16" t="s">
        <v>135</v>
      </c>
      <c r="C19" s="2" t="s">
        <v>30</v>
      </c>
      <c r="D19" s="14"/>
      <c r="E19" s="3">
        <v>173</v>
      </c>
      <c r="F19" s="3">
        <v>0.10299999999999999</v>
      </c>
      <c r="G19" s="2">
        <v>9.64E-2</v>
      </c>
      <c r="H19" s="2">
        <v>0</v>
      </c>
      <c r="I19" s="16" t="s">
        <v>52</v>
      </c>
      <c r="J19" s="14"/>
      <c r="K19" s="2" t="s">
        <v>44</v>
      </c>
      <c r="L19" s="2">
        <v>348</v>
      </c>
      <c r="M19" s="2">
        <v>0.21</v>
      </c>
      <c r="N19" s="2">
        <v>0.17499999999999999</v>
      </c>
      <c r="O19" s="2">
        <v>0</v>
      </c>
      <c r="P19" s="15" t="s">
        <v>12</v>
      </c>
      <c r="Q19" s="14"/>
      <c r="R19" s="2" t="s">
        <v>44</v>
      </c>
      <c r="S19" s="7">
        <v>485</v>
      </c>
      <c r="T19" s="7">
        <v>0.74299999999999999</v>
      </c>
      <c r="U19" s="7">
        <v>2.1499999999999998E-2</v>
      </c>
      <c r="V19" s="2">
        <v>0</v>
      </c>
      <c r="W19" s="15" t="s">
        <v>9</v>
      </c>
      <c r="X19" s="14"/>
      <c r="Y19" s="2" t="s">
        <v>44</v>
      </c>
      <c r="Z19" s="7">
        <v>411</v>
      </c>
      <c r="AA19" s="7">
        <v>4.0199999999999996</v>
      </c>
      <c r="AB19" s="7">
        <v>8.6599999999999996E-2</v>
      </c>
      <c r="AC19" s="2">
        <v>0</v>
      </c>
      <c r="AD19" s="15" t="s">
        <v>11</v>
      </c>
      <c r="AE19" s="14"/>
      <c r="AF19" s="2" t="s">
        <v>44</v>
      </c>
      <c r="AG19" s="7">
        <v>378</v>
      </c>
      <c r="AH19" s="7">
        <v>7.17E-2</v>
      </c>
      <c r="AI19" s="7">
        <v>2.29E-2</v>
      </c>
      <c r="AJ19" s="2">
        <v>0</v>
      </c>
    </row>
    <row r="20" spans="1:36" ht="16.8" x14ac:dyDescent="0.25">
      <c r="A20" s="15" t="s">
        <v>10</v>
      </c>
      <c r="B20" s="16" t="s">
        <v>136</v>
      </c>
      <c r="C20" s="2" t="s">
        <v>31</v>
      </c>
      <c r="D20" s="14"/>
      <c r="E20" s="3">
        <v>173</v>
      </c>
      <c r="F20" s="3">
        <v>0.10199999999999999</v>
      </c>
      <c r="G20" s="2">
        <v>9.74E-2</v>
      </c>
      <c r="H20" s="2">
        <v>0</v>
      </c>
      <c r="I20" s="16" t="s">
        <v>52</v>
      </c>
      <c r="J20" s="14" t="s">
        <v>16</v>
      </c>
      <c r="K20" s="2" t="s">
        <v>45</v>
      </c>
      <c r="L20" s="2">
        <v>58</v>
      </c>
      <c r="M20" s="2">
        <v>3.5000000000000003E-2</v>
      </c>
      <c r="N20" s="2">
        <v>2.93E-2</v>
      </c>
      <c r="O20" s="2">
        <v>0</v>
      </c>
      <c r="P20" s="15" t="s">
        <v>12</v>
      </c>
      <c r="Q20" s="14" t="s">
        <v>16</v>
      </c>
      <c r="R20" s="2" t="s">
        <v>45</v>
      </c>
      <c r="S20" s="7">
        <v>80.8</v>
      </c>
      <c r="T20" s="2">
        <v>0.124</v>
      </c>
      <c r="U20" s="12" t="s">
        <v>74</v>
      </c>
      <c r="V20" s="2">
        <v>0</v>
      </c>
      <c r="W20" s="15" t="s">
        <v>9</v>
      </c>
      <c r="X20" s="14" t="s">
        <v>16</v>
      </c>
      <c r="Y20" s="2" t="s">
        <v>45</v>
      </c>
      <c r="Z20" s="2">
        <v>68.400000000000006</v>
      </c>
      <c r="AA20" s="2">
        <v>0.67400000000000004</v>
      </c>
      <c r="AB20" s="2">
        <v>1.46E-2</v>
      </c>
      <c r="AC20" s="2">
        <v>0</v>
      </c>
      <c r="AD20" s="15" t="s">
        <v>11</v>
      </c>
      <c r="AE20" s="14" t="s">
        <v>16</v>
      </c>
      <c r="AF20" s="2" t="s">
        <v>45</v>
      </c>
      <c r="AG20" s="2">
        <v>63.3</v>
      </c>
      <c r="AH20" s="2">
        <v>1.2E-2</v>
      </c>
      <c r="AI20" s="11" t="s">
        <v>75</v>
      </c>
      <c r="AJ20" s="2">
        <v>0</v>
      </c>
    </row>
    <row r="21" spans="1:36" ht="16.8" x14ac:dyDescent="0.25">
      <c r="A21" s="15" t="s">
        <v>10</v>
      </c>
      <c r="B21" s="16" t="s">
        <v>137</v>
      </c>
      <c r="C21" s="2" t="s">
        <v>32</v>
      </c>
      <c r="D21" s="14"/>
      <c r="E21" s="3">
        <v>173</v>
      </c>
      <c r="F21" s="3">
        <v>0.10199999999999999</v>
      </c>
      <c r="G21" s="2">
        <v>9.8500000000000004E-2</v>
      </c>
      <c r="H21" s="2">
        <v>0</v>
      </c>
      <c r="I21" s="16" t="s">
        <v>52</v>
      </c>
      <c r="J21" s="14"/>
      <c r="K21" s="2" t="s">
        <v>38</v>
      </c>
      <c r="L21" s="2">
        <v>116</v>
      </c>
      <c r="M21" s="2">
        <v>7.0000000000000007E-2</v>
      </c>
      <c r="N21" s="2">
        <v>5.8500000000000003E-2</v>
      </c>
      <c r="O21" s="2">
        <v>0</v>
      </c>
      <c r="P21" s="15" t="s">
        <v>12</v>
      </c>
      <c r="Q21" s="14"/>
      <c r="R21" s="2" t="s">
        <v>38</v>
      </c>
      <c r="S21" s="2">
        <v>162</v>
      </c>
      <c r="T21" s="2">
        <v>0.248</v>
      </c>
      <c r="U21" s="12" t="s">
        <v>76</v>
      </c>
      <c r="V21" s="2">
        <v>0</v>
      </c>
      <c r="W21" s="15" t="s">
        <v>9</v>
      </c>
      <c r="X21" s="14"/>
      <c r="Y21" s="2" t="s">
        <v>38</v>
      </c>
      <c r="Z21" s="2">
        <v>137</v>
      </c>
      <c r="AA21" s="2">
        <v>1.35</v>
      </c>
      <c r="AB21" s="2">
        <v>2.9100000000000001E-2</v>
      </c>
      <c r="AC21" s="2">
        <v>0</v>
      </c>
      <c r="AD21" s="15" t="s">
        <v>11</v>
      </c>
      <c r="AE21" s="14"/>
      <c r="AF21" s="2" t="s">
        <v>38</v>
      </c>
      <c r="AG21" s="3">
        <v>127</v>
      </c>
      <c r="AH21" s="2">
        <v>2.41E-2</v>
      </c>
      <c r="AI21" s="11" t="s">
        <v>77</v>
      </c>
      <c r="AJ21" s="2">
        <v>0</v>
      </c>
    </row>
    <row r="22" spans="1:36" ht="16.8" x14ac:dyDescent="0.25">
      <c r="A22" s="15" t="s">
        <v>10</v>
      </c>
      <c r="B22" s="16" t="s">
        <v>138</v>
      </c>
      <c r="C22" s="2" t="s">
        <v>33</v>
      </c>
      <c r="D22" s="14"/>
      <c r="E22" s="3">
        <v>172</v>
      </c>
      <c r="F22" s="3">
        <v>0.10199999999999999</v>
      </c>
      <c r="G22" s="2">
        <v>9.9599999999999994E-2</v>
      </c>
      <c r="H22" s="2">
        <v>0</v>
      </c>
      <c r="I22" s="16" t="s">
        <v>52</v>
      </c>
      <c r="J22" s="14"/>
      <c r="K22" s="2" t="s">
        <v>41</v>
      </c>
      <c r="L22" s="3">
        <v>174</v>
      </c>
      <c r="M22" s="3">
        <v>0.105</v>
      </c>
      <c r="N22" s="2">
        <v>8.7800000000000003E-2</v>
      </c>
      <c r="O22" s="2">
        <v>0</v>
      </c>
      <c r="P22" s="15" t="s">
        <v>12</v>
      </c>
      <c r="Q22" s="14"/>
      <c r="R22" s="2" t="s">
        <v>41</v>
      </c>
      <c r="S22" s="2">
        <f t="shared" si="0"/>
        <v>243</v>
      </c>
      <c r="T22" s="3">
        <f t="shared" si="1"/>
        <v>0.372</v>
      </c>
      <c r="U22" s="2">
        <f t="shared" si="2"/>
        <v>1.0800000000000001E-2</v>
      </c>
      <c r="V22" s="2">
        <v>0</v>
      </c>
      <c r="W22" s="15" t="s">
        <v>9</v>
      </c>
      <c r="X22" s="14"/>
      <c r="Y22" s="2" t="s">
        <v>41</v>
      </c>
      <c r="Z22" s="3">
        <f t="shared" si="3"/>
        <v>205</v>
      </c>
      <c r="AA22" s="3">
        <f t="shared" si="4"/>
        <v>2.02</v>
      </c>
      <c r="AB22" s="2">
        <f t="shared" si="5"/>
        <v>4.3700000000000003E-2</v>
      </c>
      <c r="AC22" s="2">
        <v>0</v>
      </c>
      <c r="AD22" s="15" t="s">
        <v>11</v>
      </c>
      <c r="AE22" s="14"/>
      <c r="AF22" s="2" t="s">
        <v>41</v>
      </c>
      <c r="AG22" s="3">
        <f t="shared" si="6"/>
        <v>190</v>
      </c>
      <c r="AH22" s="3">
        <f t="shared" si="7"/>
        <v>3.61E-2</v>
      </c>
      <c r="AI22" s="2">
        <f t="shared" si="8"/>
        <v>1.1599999999999999E-2</v>
      </c>
      <c r="AJ22" s="2">
        <v>0</v>
      </c>
    </row>
    <row r="23" spans="1:36" ht="16.8" x14ac:dyDescent="0.25">
      <c r="A23" s="15" t="s">
        <v>10</v>
      </c>
      <c r="B23" s="16" t="s">
        <v>139</v>
      </c>
      <c r="C23" s="2" t="s">
        <v>34</v>
      </c>
      <c r="D23" s="14"/>
      <c r="E23" s="3">
        <v>172</v>
      </c>
      <c r="F23" s="3">
        <v>0.10199999999999999</v>
      </c>
      <c r="G23" s="2">
        <v>0.10100000000000001</v>
      </c>
      <c r="H23" s="2">
        <v>0</v>
      </c>
      <c r="I23" s="16" t="s">
        <v>52</v>
      </c>
      <c r="J23" s="14"/>
      <c r="K23" s="2" t="s">
        <v>42</v>
      </c>
      <c r="L23" s="4">
        <v>232</v>
      </c>
      <c r="M23" s="4">
        <v>0.14000000000000001</v>
      </c>
      <c r="N23" s="2">
        <v>0.11700000000000001</v>
      </c>
      <c r="O23" s="2">
        <v>0</v>
      </c>
      <c r="P23" s="15" t="s">
        <v>12</v>
      </c>
      <c r="Q23" s="14"/>
      <c r="R23" s="2" t="s">
        <v>42</v>
      </c>
      <c r="S23" s="2">
        <v>323</v>
      </c>
      <c r="T23" s="3">
        <v>0.496</v>
      </c>
      <c r="U23" s="2">
        <v>1.44E-2</v>
      </c>
      <c r="V23" s="2">
        <v>0</v>
      </c>
      <c r="W23" s="15" t="s">
        <v>9</v>
      </c>
      <c r="X23" s="14"/>
      <c r="Y23" s="2" t="s">
        <v>42</v>
      </c>
      <c r="Z23" s="3">
        <v>273</v>
      </c>
      <c r="AA23" s="3">
        <v>2.69</v>
      </c>
      <c r="AB23" s="2">
        <v>5.8299999999999998E-2</v>
      </c>
      <c r="AC23" s="2">
        <v>0</v>
      </c>
      <c r="AD23" s="15" t="s">
        <v>11</v>
      </c>
      <c r="AE23" s="14"/>
      <c r="AF23" s="2" t="s">
        <v>42</v>
      </c>
      <c r="AG23" s="3">
        <v>253</v>
      </c>
      <c r="AH23" s="3">
        <v>4.82E-2</v>
      </c>
      <c r="AI23" s="2">
        <v>1.54E-2</v>
      </c>
      <c r="AJ23" s="2">
        <v>0</v>
      </c>
    </row>
    <row r="24" spans="1:36" ht="16.8" x14ac:dyDescent="0.25">
      <c r="A24" s="15" t="s">
        <v>10</v>
      </c>
      <c r="B24" s="16" t="s">
        <v>140</v>
      </c>
      <c r="C24" s="2" t="s">
        <v>35</v>
      </c>
      <c r="D24" s="14"/>
      <c r="E24" s="3">
        <v>172</v>
      </c>
      <c r="F24" s="3">
        <v>0.10199999999999999</v>
      </c>
      <c r="G24" s="2">
        <v>0.10199999999999999</v>
      </c>
      <c r="H24" s="2">
        <v>0</v>
      </c>
      <c r="I24" s="16" t="s">
        <v>52</v>
      </c>
      <c r="J24" s="14"/>
      <c r="K24" s="2" t="s">
        <v>43</v>
      </c>
      <c r="L24" s="2">
        <v>290</v>
      </c>
      <c r="M24" s="2">
        <v>0.17499999999999999</v>
      </c>
      <c r="N24" s="2">
        <v>0.14599999999999999</v>
      </c>
      <c r="O24" s="2">
        <v>0</v>
      </c>
      <c r="P24" s="15" t="s">
        <v>12</v>
      </c>
      <c r="Q24" s="14"/>
      <c r="R24" s="2" t="s">
        <v>43</v>
      </c>
      <c r="S24" s="7">
        <v>404</v>
      </c>
      <c r="T24" s="7">
        <v>0.61899999999999999</v>
      </c>
      <c r="U24" s="7">
        <v>1.7999999999999999E-2</v>
      </c>
      <c r="V24" s="2">
        <v>0</v>
      </c>
      <c r="W24" s="15" t="s">
        <v>9</v>
      </c>
      <c r="X24" s="14"/>
      <c r="Y24" s="2" t="s">
        <v>43</v>
      </c>
      <c r="Z24" s="7">
        <v>342</v>
      </c>
      <c r="AA24" s="7">
        <v>3.37</v>
      </c>
      <c r="AB24" s="7">
        <v>7.2800000000000004E-2</v>
      </c>
      <c r="AC24" s="2">
        <v>0</v>
      </c>
      <c r="AD24" s="15" t="s">
        <v>11</v>
      </c>
      <c r="AE24" s="14"/>
      <c r="AF24" s="2" t="s">
        <v>43</v>
      </c>
      <c r="AG24" s="7">
        <v>317</v>
      </c>
      <c r="AH24" s="7">
        <v>6.0199999999999997E-2</v>
      </c>
      <c r="AI24" s="2">
        <v>1.9300000000000001E-2</v>
      </c>
      <c r="AJ24" s="2">
        <v>0</v>
      </c>
    </row>
    <row r="25" spans="1:36" ht="16.8" x14ac:dyDescent="0.25">
      <c r="A25" s="15" t="s">
        <v>10</v>
      </c>
      <c r="B25" s="16" t="s">
        <v>141</v>
      </c>
      <c r="C25" s="2" t="s">
        <v>36</v>
      </c>
      <c r="D25" s="14"/>
      <c r="E25" s="3">
        <v>172</v>
      </c>
      <c r="F25" s="3">
        <v>0.10199999999999999</v>
      </c>
      <c r="G25" s="2">
        <v>0.104</v>
      </c>
      <c r="H25" s="2">
        <v>0</v>
      </c>
      <c r="I25" s="16" t="s">
        <v>52</v>
      </c>
      <c r="J25" s="14"/>
      <c r="K25" s="2" t="s">
        <v>44</v>
      </c>
      <c r="L25" s="2">
        <v>348</v>
      </c>
      <c r="M25" s="2">
        <v>0.21</v>
      </c>
      <c r="N25" s="2">
        <v>0.17599999999999999</v>
      </c>
      <c r="O25" s="2">
        <v>0</v>
      </c>
      <c r="P25" s="15" t="s">
        <v>12</v>
      </c>
      <c r="Q25" s="14"/>
      <c r="R25" s="2" t="s">
        <v>44</v>
      </c>
      <c r="S25" s="7">
        <v>485</v>
      </c>
      <c r="T25" s="7">
        <v>0.74299999999999999</v>
      </c>
      <c r="U25" s="7">
        <v>2.1600000000000001E-2</v>
      </c>
      <c r="V25" s="2">
        <v>0</v>
      </c>
      <c r="W25" s="15" t="s">
        <v>9</v>
      </c>
      <c r="X25" s="14"/>
      <c r="Y25" s="2" t="s">
        <v>44</v>
      </c>
      <c r="Z25" s="7">
        <v>410</v>
      </c>
      <c r="AA25" s="7">
        <v>4.04</v>
      </c>
      <c r="AB25" s="7">
        <v>8.7400000000000005E-2</v>
      </c>
      <c r="AC25" s="2">
        <v>0</v>
      </c>
      <c r="AD25" s="15" t="s">
        <v>11</v>
      </c>
      <c r="AE25" s="14"/>
      <c r="AF25" s="2" t="s">
        <v>44</v>
      </c>
      <c r="AG25" s="7">
        <v>380</v>
      </c>
      <c r="AH25" s="7">
        <v>7.2300000000000003E-2</v>
      </c>
      <c r="AI25" s="2">
        <v>2.3099999999999999E-2</v>
      </c>
      <c r="AJ25" s="2">
        <v>0</v>
      </c>
    </row>
    <row r="26" spans="1:36" ht="16.8" x14ac:dyDescent="0.25">
      <c r="A26" s="15" t="s">
        <v>10</v>
      </c>
      <c r="B26" s="16" t="s">
        <v>142</v>
      </c>
      <c r="C26" s="2" t="s">
        <v>37</v>
      </c>
      <c r="D26" s="14"/>
      <c r="E26" s="3">
        <v>172</v>
      </c>
      <c r="F26" s="3">
        <v>0.10199999999999999</v>
      </c>
      <c r="G26" s="2">
        <v>0.105</v>
      </c>
      <c r="H26" s="2">
        <v>0</v>
      </c>
      <c r="I26" s="16" t="s">
        <v>52</v>
      </c>
      <c r="J26" s="14" t="s">
        <v>57</v>
      </c>
      <c r="K26" s="2" t="s">
        <v>45</v>
      </c>
      <c r="L26" s="2">
        <v>57.9</v>
      </c>
      <c r="M26" s="2">
        <v>3.49E-2</v>
      </c>
      <c r="N26" s="2">
        <v>2.9399999999999999E-2</v>
      </c>
      <c r="O26" s="2">
        <v>0</v>
      </c>
      <c r="P26" s="15" t="s">
        <v>12</v>
      </c>
      <c r="Q26" s="14" t="s">
        <v>57</v>
      </c>
      <c r="R26" s="2" t="s">
        <v>45</v>
      </c>
      <c r="S26" s="2">
        <v>80.8</v>
      </c>
      <c r="T26" s="3">
        <v>0.124</v>
      </c>
      <c r="U26" s="12" t="s">
        <v>78</v>
      </c>
      <c r="V26" s="2">
        <v>0</v>
      </c>
      <c r="W26" s="15" t="s">
        <v>9</v>
      </c>
      <c r="X26" s="14" t="s">
        <v>57</v>
      </c>
      <c r="Y26" s="2" t="s">
        <v>45</v>
      </c>
      <c r="Z26" s="2">
        <v>68.3</v>
      </c>
      <c r="AA26" s="2">
        <v>0.67800000000000005</v>
      </c>
      <c r="AB26" s="2">
        <v>1.47E-2</v>
      </c>
      <c r="AC26" s="2">
        <v>0</v>
      </c>
      <c r="AD26" s="15" t="s">
        <v>11</v>
      </c>
      <c r="AE26" s="14" t="s">
        <v>57</v>
      </c>
      <c r="AF26" s="2" t="s">
        <v>45</v>
      </c>
      <c r="AG26" s="2">
        <v>63.6</v>
      </c>
      <c r="AH26" s="2">
        <v>1.2200000000000001E-2</v>
      </c>
      <c r="AI26" s="11" t="s">
        <v>79</v>
      </c>
      <c r="AJ26" s="2">
        <v>0</v>
      </c>
    </row>
    <row r="27" spans="1:36" ht="16.8" x14ac:dyDescent="0.25">
      <c r="A27" s="15" t="s">
        <v>12</v>
      </c>
      <c r="B27" s="16" t="s">
        <v>39</v>
      </c>
      <c r="C27" s="2" t="s">
        <v>14</v>
      </c>
      <c r="D27" s="14" t="s">
        <v>1</v>
      </c>
      <c r="E27" s="3">
        <v>243</v>
      </c>
      <c r="F27" s="3">
        <v>0.371</v>
      </c>
      <c r="G27" s="6">
        <v>1.0699999999999999E-2</v>
      </c>
      <c r="H27" s="2">
        <v>0</v>
      </c>
      <c r="I27" s="16" t="s">
        <v>52</v>
      </c>
      <c r="J27" s="14"/>
      <c r="K27" s="2" t="s">
        <v>38</v>
      </c>
      <c r="L27" s="2">
        <v>116</v>
      </c>
      <c r="M27" s="2">
        <v>6.9800000000000001E-2</v>
      </c>
      <c r="N27" s="2">
        <v>5.8700000000000002E-2</v>
      </c>
      <c r="O27" s="2">
        <v>0</v>
      </c>
      <c r="P27" s="15" t="s">
        <v>12</v>
      </c>
      <c r="Q27" s="14"/>
      <c r="R27" s="2" t="s">
        <v>38</v>
      </c>
      <c r="S27" s="2">
        <v>162</v>
      </c>
      <c r="T27" s="2">
        <v>0.248</v>
      </c>
      <c r="U27" s="12" t="s">
        <v>80</v>
      </c>
      <c r="V27" s="2">
        <v>0</v>
      </c>
      <c r="W27" s="15" t="s">
        <v>9</v>
      </c>
      <c r="X27" s="14"/>
      <c r="Y27" s="2" t="s">
        <v>38</v>
      </c>
      <c r="Z27" s="2">
        <v>137</v>
      </c>
      <c r="AA27" s="2">
        <v>1.36</v>
      </c>
      <c r="AB27" s="2">
        <v>2.9399999999999999E-2</v>
      </c>
      <c r="AC27" s="2">
        <v>0</v>
      </c>
      <c r="AD27" s="15" t="s">
        <v>11</v>
      </c>
      <c r="AE27" s="14"/>
      <c r="AF27" s="2" t="s">
        <v>38</v>
      </c>
      <c r="AG27" s="3">
        <v>127</v>
      </c>
      <c r="AH27" s="2">
        <v>2.4299999999999999E-2</v>
      </c>
      <c r="AI27" s="11" t="s">
        <v>81</v>
      </c>
      <c r="AJ27" s="2">
        <v>0</v>
      </c>
    </row>
    <row r="28" spans="1:36" ht="16.8" x14ac:dyDescent="0.25">
      <c r="A28" s="15" t="s">
        <v>12</v>
      </c>
      <c r="B28" s="16" t="s">
        <v>119</v>
      </c>
      <c r="C28" s="2" t="s">
        <v>13</v>
      </c>
      <c r="D28" s="14"/>
      <c r="E28" s="3">
        <v>243</v>
      </c>
      <c r="F28" s="3">
        <v>0.371</v>
      </c>
      <c r="G28" s="6">
        <v>1.0699999999999999E-2</v>
      </c>
      <c r="H28" s="2">
        <v>0</v>
      </c>
      <c r="I28" s="16" t="s">
        <v>52</v>
      </c>
      <c r="J28" s="14"/>
      <c r="K28" s="2" t="s">
        <v>41</v>
      </c>
      <c r="L28" s="3">
        <v>174</v>
      </c>
      <c r="M28" s="3">
        <v>0.105</v>
      </c>
      <c r="N28" s="2">
        <v>8.8099999999999998E-2</v>
      </c>
      <c r="O28" s="2">
        <v>0</v>
      </c>
      <c r="P28" s="15" t="s">
        <v>12</v>
      </c>
      <c r="Q28" s="14"/>
      <c r="R28" s="2" t="s">
        <v>41</v>
      </c>
      <c r="S28" s="2">
        <f t="shared" si="0"/>
        <v>243</v>
      </c>
      <c r="T28" s="3">
        <f t="shared" si="1"/>
        <v>0.372</v>
      </c>
      <c r="U28" s="2">
        <f t="shared" si="2"/>
        <v>1.0800000000000001E-2</v>
      </c>
      <c r="V28" s="2">
        <v>0</v>
      </c>
      <c r="W28" s="15" t="s">
        <v>9</v>
      </c>
      <c r="X28" s="14"/>
      <c r="Y28" s="2" t="s">
        <v>41</v>
      </c>
      <c r="Z28" s="3">
        <f t="shared" si="3"/>
        <v>205</v>
      </c>
      <c r="AA28" s="3">
        <f t="shared" si="4"/>
        <v>2.0299999999999998</v>
      </c>
      <c r="AB28" s="2">
        <f t="shared" si="5"/>
        <v>4.41E-2</v>
      </c>
      <c r="AC28" s="2">
        <v>0</v>
      </c>
      <c r="AD28" s="15" t="s">
        <v>11</v>
      </c>
      <c r="AE28" s="14"/>
      <c r="AF28" s="2" t="s">
        <v>41</v>
      </c>
      <c r="AG28" s="3">
        <f t="shared" si="6"/>
        <v>191</v>
      </c>
      <c r="AH28" s="3">
        <f t="shared" si="7"/>
        <v>3.6499999999999998E-2</v>
      </c>
      <c r="AI28" s="2">
        <f t="shared" si="8"/>
        <v>1.17E-2</v>
      </c>
      <c r="AJ28" s="2">
        <v>0</v>
      </c>
    </row>
    <row r="29" spans="1:36" ht="16.8" x14ac:dyDescent="0.25">
      <c r="A29" s="15" t="s">
        <v>12</v>
      </c>
      <c r="B29" s="16" t="s">
        <v>120</v>
      </c>
      <c r="C29" s="2" t="s">
        <v>15</v>
      </c>
      <c r="D29" s="14"/>
      <c r="E29" s="3">
        <v>243</v>
      </c>
      <c r="F29" s="3">
        <v>0.371</v>
      </c>
      <c r="G29" s="6">
        <v>1.0800000000000001E-2</v>
      </c>
      <c r="H29" s="2">
        <v>0</v>
      </c>
      <c r="I29" s="16" t="s">
        <v>52</v>
      </c>
      <c r="J29" s="14"/>
      <c r="K29" s="2" t="s">
        <v>42</v>
      </c>
      <c r="L29" s="4">
        <v>232</v>
      </c>
      <c r="M29" s="4">
        <v>0.14000000000000001</v>
      </c>
      <c r="N29" s="2">
        <v>0.11700000000000001</v>
      </c>
      <c r="O29" s="2">
        <v>0</v>
      </c>
      <c r="P29" s="15" t="s">
        <v>12</v>
      </c>
      <c r="Q29" s="14"/>
      <c r="R29" s="2" t="s">
        <v>42</v>
      </c>
      <c r="S29" s="2">
        <v>323</v>
      </c>
      <c r="T29" s="3">
        <v>0.496</v>
      </c>
      <c r="U29" s="2">
        <v>1.4500000000000001E-2</v>
      </c>
      <c r="V29" s="2">
        <v>0</v>
      </c>
      <c r="W29" s="15" t="s">
        <v>9</v>
      </c>
      <c r="X29" s="14"/>
      <c r="Y29" s="2" t="s">
        <v>42</v>
      </c>
      <c r="Z29" s="3">
        <v>273</v>
      </c>
      <c r="AA29" s="3">
        <v>2.71</v>
      </c>
      <c r="AB29" s="2">
        <v>5.8799999999999998E-2</v>
      </c>
      <c r="AC29" s="2">
        <v>0</v>
      </c>
      <c r="AD29" s="15" t="s">
        <v>11</v>
      </c>
      <c r="AE29" s="14"/>
      <c r="AF29" s="2" t="s">
        <v>42</v>
      </c>
      <c r="AG29" s="3">
        <v>255</v>
      </c>
      <c r="AH29" s="3">
        <v>4.8599999999999997E-2</v>
      </c>
      <c r="AI29" s="2">
        <v>1.55E-2</v>
      </c>
      <c r="AJ29" s="2">
        <v>0</v>
      </c>
    </row>
    <row r="30" spans="1:36" ht="16.8" x14ac:dyDescent="0.25">
      <c r="A30" s="15" t="s">
        <v>12</v>
      </c>
      <c r="B30" s="16" t="s">
        <v>121</v>
      </c>
      <c r="C30" s="2" t="s">
        <v>16</v>
      </c>
      <c r="D30" s="14"/>
      <c r="E30" s="3">
        <v>243</v>
      </c>
      <c r="F30" s="3">
        <v>0.372</v>
      </c>
      <c r="G30" s="6">
        <v>1.0800000000000001E-2</v>
      </c>
      <c r="H30" s="2">
        <v>0</v>
      </c>
      <c r="I30" s="16" t="s">
        <v>52</v>
      </c>
      <c r="J30" s="14"/>
      <c r="K30" s="2" t="s">
        <v>43</v>
      </c>
      <c r="L30" s="2">
        <v>290</v>
      </c>
      <c r="M30" s="2">
        <v>0.17499999999999999</v>
      </c>
      <c r="N30" s="2">
        <v>0.14699999999999999</v>
      </c>
      <c r="O30" s="2">
        <v>0</v>
      </c>
      <c r="P30" s="15" t="s">
        <v>12</v>
      </c>
      <c r="Q30" s="14"/>
      <c r="R30" s="2" t="s">
        <v>43</v>
      </c>
      <c r="S30" s="7">
        <v>404</v>
      </c>
      <c r="T30" s="7">
        <v>0.62</v>
      </c>
      <c r="U30" s="7">
        <v>1.8100000000000002E-2</v>
      </c>
      <c r="V30" s="2">
        <v>0</v>
      </c>
      <c r="W30" s="15" t="s">
        <v>9</v>
      </c>
      <c r="X30" s="14"/>
      <c r="Y30" s="2" t="s">
        <v>43</v>
      </c>
      <c r="Z30" s="7">
        <v>341</v>
      </c>
      <c r="AA30" s="7">
        <v>3.39</v>
      </c>
      <c r="AB30" s="7">
        <v>7.3499999999999996E-2</v>
      </c>
      <c r="AC30" s="2">
        <v>0</v>
      </c>
      <c r="AD30" s="15" t="s">
        <v>11</v>
      </c>
      <c r="AE30" s="14"/>
      <c r="AF30" s="2" t="s">
        <v>43</v>
      </c>
      <c r="AG30" s="7">
        <v>318</v>
      </c>
      <c r="AH30" s="7">
        <v>6.08E-2</v>
      </c>
      <c r="AI30" s="2">
        <v>1.9400000000000001E-2</v>
      </c>
      <c r="AJ30" s="2">
        <v>0</v>
      </c>
    </row>
    <row r="31" spans="1:36" ht="16.8" x14ac:dyDescent="0.25">
      <c r="A31" s="15" t="s">
        <v>12</v>
      </c>
      <c r="B31" s="16" t="s">
        <v>122</v>
      </c>
      <c r="C31" s="2" t="s">
        <v>17</v>
      </c>
      <c r="D31" s="14"/>
      <c r="E31" s="3">
        <v>243</v>
      </c>
      <c r="F31" s="3">
        <v>0.372</v>
      </c>
      <c r="G31" s="6">
        <v>1.0800000000000001E-2</v>
      </c>
      <c r="H31" s="2">
        <v>0</v>
      </c>
      <c r="I31" s="16" t="s">
        <v>52</v>
      </c>
      <c r="J31" s="14"/>
      <c r="K31" s="2" t="s">
        <v>44</v>
      </c>
      <c r="L31" s="2">
        <v>348</v>
      </c>
      <c r="M31" s="2">
        <v>0.21</v>
      </c>
      <c r="N31" s="2">
        <v>0.17599999999999999</v>
      </c>
      <c r="O31" s="2">
        <v>0</v>
      </c>
      <c r="P31" s="15" t="s">
        <v>12</v>
      </c>
      <c r="Q31" s="14"/>
      <c r="R31" s="2" t="s">
        <v>44</v>
      </c>
      <c r="S31" s="7">
        <v>485</v>
      </c>
      <c r="T31" s="7">
        <v>0.74399999999999999</v>
      </c>
      <c r="U31" s="7">
        <v>2.1700000000000001E-2</v>
      </c>
      <c r="V31" s="2">
        <v>0</v>
      </c>
      <c r="W31" s="15" t="s">
        <v>9</v>
      </c>
      <c r="X31" s="14"/>
      <c r="Y31" s="2" t="s">
        <v>44</v>
      </c>
      <c r="Z31" s="3">
        <v>410</v>
      </c>
      <c r="AA31" s="3">
        <v>4.07</v>
      </c>
      <c r="AB31" s="7">
        <v>8.8200000000000001E-2</v>
      </c>
      <c r="AC31" s="2">
        <v>0</v>
      </c>
      <c r="AD31" s="15" t="s">
        <v>11</v>
      </c>
      <c r="AE31" s="14"/>
      <c r="AF31" s="2" t="s">
        <v>44</v>
      </c>
      <c r="AG31" s="7">
        <v>382</v>
      </c>
      <c r="AH31" s="7">
        <v>7.2900000000000006E-2</v>
      </c>
      <c r="AI31" s="2">
        <v>2.3300000000000001E-2</v>
      </c>
      <c r="AJ31" s="2">
        <v>0</v>
      </c>
    </row>
    <row r="32" spans="1:36" ht="16.8" x14ac:dyDescent="0.25">
      <c r="A32" s="15" t="s">
        <v>12</v>
      </c>
      <c r="B32" s="16" t="s">
        <v>123</v>
      </c>
      <c r="C32" s="2" t="s">
        <v>18</v>
      </c>
      <c r="D32" s="14"/>
      <c r="E32" s="3">
        <v>243</v>
      </c>
      <c r="F32" s="3">
        <v>0.372</v>
      </c>
      <c r="G32" s="6">
        <v>1.09E-2</v>
      </c>
      <c r="H32" s="2">
        <v>0</v>
      </c>
      <c r="I32" s="16" t="s">
        <v>52</v>
      </c>
      <c r="J32" s="14" t="s">
        <v>65</v>
      </c>
      <c r="K32" s="2" t="s">
        <v>45</v>
      </c>
      <c r="L32" s="2">
        <v>58.9</v>
      </c>
      <c r="M32" s="2">
        <v>3.4799999999999998E-2</v>
      </c>
      <c r="N32" s="2">
        <v>2.9600000000000001E-2</v>
      </c>
      <c r="O32" s="2">
        <v>0</v>
      </c>
      <c r="P32" s="15" t="s">
        <v>12</v>
      </c>
      <c r="Q32" s="14" t="s">
        <v>65</v>
      </c>
      <c r="R32" s="2" t="s">
        <v>45</v>
      </c>
      <c r="S32" s="2">
        <v>80.900000000000006</v>
      </c>
      <c r="T32" s="3">
        <v>0.124</v>
      </c>
      <c r="U32" s="12" t="s">
        <v>82</v>
      </c>
      <c r="V32" s="2">
        <v>0</v>
      </c>
      <c r="W32" s="15" t="s">
        <v>9</v>
      </c>
      <c r="X32" s="14" t="s">
        <v>65</v>
      </c>
      <c r="Y32" s="2" t="s">
        <v>45</v>
      </c>
      <c r="Z32" s="3">
        <v>68.099999999999994</v>
      </c>
      <c r="AA32" s="3">
        <v>0.68700000000000006</v>
      </c>
      <c r="AB32" s="2">
        <v>1.4999999999999999E-2</v>
      </c>
      <c r="AC32" s="2">
        <v>0</v>
      </c>
      <c r="AD32" s="15" t="s">
        <v>11</v>
      </c>
      <c r="AE32" s="14" t="s">
        <v>65</v>
      </c>
      <c r="AF32" s="2" t="s">
        <v>45</v>
      </c>
      <c r="AG32" s="3">
        <v>64.3</v>
      </c>
      <c r="AH32" s="3">
        <v>1.24E-2</v>
      </c>
      <c r="AI32" s="11" t="s">
        <v>83</v>
      </c>
      <c r="AJ32" s="2">
        <v>0</v>
      </c>
    </row>
    <row r="33" spans="1:36" ht="16.8" x14ac:dyDescent="0.25">
      <c r="A33" s="15" t="s">
        <v>12</v>
      </c>
      <c r="B33" s="16" t="s">
        <v>124</v>
      </c>
      <c r="C33" s="2" t="s">
        <v>19</v>
      </c>
      <c r="D33" s="14"/>
      <c r="E33" s="3">
        <v>243</v>
      </c>
      <c r="F33" s="3">
        <v>0.373</v>
      </c>
      <c r="G33" s="6">
        <v>1.09E-2</v>
      </c>
      <c r="H33" s="2">
        <v>0</v>
      </c>
      <c r="I33" s="16" t="s">
        <v>52</v>
      </c>
      <c r="J33" s="14"/>
      <c r="K33" s="2" t="s">
        <v>38</v>
      </c>
      <c r="L33" s="2">
        <v>116</v>
      </c>
      <c r="M33" s="2">
        <v>6.9599999999999995E-2</v>
      </c>
      <c r="N33" s="2">
        <v>5.9299999999999999E-2</v>
      </c>
      <c r="O33" s="2">
        <v>0</v>
      </c>
      <c r="P33" s="15" t="s">
        <v>12</v>
      </c>
      <c r="Q33" s="14"/>
      <c r="R33" s="2" t="s">
        <v>38</v>
      </c>
      <c r="S33" s="2">
        <v>162</v>
      </c>
      <c r="T33" s="3">
        <v>0.249</v>
      </c>
      <c r="U33" s="12" t="s">
        <v>84</v>
      </c>
      <c r="V33" s="2">
        <v>0</v>
      </c>
      <c r="W33" s="15" t="s">
        <v>9</v>
      </c>
      <c r="X33" s="14"/>
      <c r="Y33" s="2" t="s">
        <v>38</v>
      </c>
      <c r="Z33" s="3">
        <v>136</v>
      </c>
      <c r="AA33" s="3">
        <v>1.37</v>
      </c>
      <c r="AB33" s="2">
        <v>0.03</v>
      </c>
      <c r="AC33" s="2">
        <v>0</v>
      </c>
      <c r="AD33" s="15" t="s">
        <v>11</v>
      </c>
      <c r="AE33" s="14"/>
      <c r="AF33" s="2" t="s">
        <v>38</v>
      </c>
      <c r="AG33" s="3">
        <v>129</v>
      </c>
      <c r="AH33" s="3">
        <v>2.47E-2</v>
      </c>
      <c r="AI33" s="11" t="s">
        <v>85</v>
      </c>
      <c r="AJ33" s="2">
        <v>0</v>
      </c>
    </row>
    <row r="34" spans="1:36" ht="16.8" x14ac:dyDescent="0.25">
      <c r="A34" s="15" t="s">
        <v>12</v>
      </c>
      <c r="B34" s="16" t="s">
        <v>125</v>
      </c>
      <c r="C34" s="2" t="s">
        <v>20</v>
      </c>
      <c r="D34" s="14"/>
      <c r="E34" s="3">
        <v>243</v>
      </c>
      <c r="F34" s="3">
        <v>0.373</v>
      </c>
      <c r="G34" s="6">
        <v>1.0999999999999999E-2</v>
      </c>
      <c r="H34" s="2">
        <v>0</v>
      </c>
      <c r="I34" s="16" t="s">
        <v>52</v>
      </c>
      <c r="J34" s="14"/>
      <c r="K34" s="2" t="s">
        <v>41</v>
      </c>
      <c r="L34" s="2">
        <f>VLOOKUP(J32,$C$2:$H$26,3,FALSE)</f>
        <v>174</v>
      </c>
      <c r="M34" s="2">
        <f>VLOOKUP(J32,$C$2:$H$26,4,FALSE)</f>
        <v>0.104</v>
      </c>
      <c r="N34" s="2">
        <f>VLOOKUP(J32,$C$2:$H$26,5,FALSE)</f>
        <v>8.8900000000000007E-2</v>
      </c>
      <c r="O34" s="2">
        <v>0</v>
      </c>
      <c r="P34" s="15" t="s">
        <v>12</v>
      </c>
      <c r="Q34" s="14"/>
      <c r="R34" s="2" t="s">
        <v>41</v>
      </c>
      <c r="S34" s="2">
        <f>VLOOKUP(Q32,$C$27:$H$51,3,FALSE)</f>
        <v>243</v>
      </c>
      <c r="T34" s="3">
        <f>VLOOKUP(Q32,$C$27:$H$51,4,FALSE)</f>
        <v>0.373</v>
      </c>
      <c r="U34" s="2">
        <f>VLOOKUP(Q32,$C$27:$H$51,5,FALSE)</f>
        <v>1.09E-2</v>
      </c>
      <c r="V34" s="2">
        <v>0</v>
      </c>
      <c r="W34" s="15" t="s">
        <v>9</v>
      </c>
      <c r="X34" s="14"/>
      <c r="Y34" s="2" t="s">
        <v>41</v>
      </c>
      <c r="Z34" s="3">
        <f>VLOOKUP(X32,$C$52:$H$76,3,FALSE)</f>
        <v>204</v>
      </c>
      <c r="AA34" s="3">
        <f>VLOOKUP(X32,$C$52:$H$76,4,FALSE)</f>
        <v>2.06</v>
      </c>
      <c r="AB34" s="2">
        <f>VLOOKUP(X32,$C$52:$H$76,5,FALSE)</f>
        <v>4.4999999999999998E-2</v>
      </c>
      <c r="AC34" s="2">
        <v>0</v>
      </c>
      <c r="AD34" s="15" t="s">
        <v>11</v>
      </c>
      <c r="AE34" s="14"/>
      <c r="AF34" s="2" t="s">
        <v>41</v>
      </c>
      <c r="AG34" s="3">
        <f>VLOOKUP(AE32,$C$77:$H$101,3,FALSE)</f>
        <v>193</v>
      </c>
      <c r="AH34" s="3">
        <f>VLOOKUP(AE32,$C$77:$H$101,4,FALSE)</f>
        <v>3.7100000000000001E-2</v>
      </c>
      <c r="AI34" s="2">
        <f>VLOOKUP(AE32,$C$77:$H$101,5,FALSE)</f>
        <v>1.1900000000000001E-2</v>
      </c>
      <c r="AJ34" s="2">
        <v>0</v>
      </c>
    </row>
    <row r="35" spans="1:36" ht="16.8" x14ac:dyDescent="0.25">
      <c r="A35" s="15" t="s">
        <v>12</v>
      </c>
      <c r="B35" s="16" t="s">
        <v>126</v>
      </c>
      <c r="C35" s="2" t="s">
        <v>21</v>
      </c>
      <c r="D35" s="14"/>
      <c r="E35" s="3">
        <v>243</v>
      </c>
      <c r="F35" s="3">
        <v>0.374</v>
      </c>
      <c r="G35" s="6">
        <v>1.11E-2</v>
      </c>
      <c r="H35" s="2">
        <v>0</v>
      </c>
      <c r="I35" s="16" t="s">
        <v>52</v>
      </c>
      <c r="J35" s="14"/>
      <c r="K35" s="2" t="s">
        <v>42</v>
      </c>
      <c r="L35" s="2">
        <v>231</v>
      </c>
      <c r="M35" s="4">
        <v>0.13900000000000001</v>
      </c>
      <c r="N35" s="2">
        <v>0.11899999999999999</v>
      </c>
      <c r="O35" s="2">
        <v>0</v>
      </c>
      <c r="P35" s="15" t="s">
        <v>12</v>
      </c>
      <c r="Q35" s="14"/>
      <c r="R35" s="2" t="s">
        <v>42</v>
      </c>
      <c r="S35" s="2">
        <v>323</v>
      </c>
      <c r="T35" s="3">
        <v>0.497</v>
      </c>
      <c r="U35" s="2">
        <v>1.46E-2</v>
      </c>
      <c r="V35" s="2">
        <v>0</v>
      </c>
      <c r="W35" s="15" t="s">
        <v>9</v>
      </c>
      <c r="X35" s="14"/>
      <c r="Y35" s="2" t="s">
        <v>42</v>
      </c>
      <c r="Z35" s="3">
        <v>272</v>
      </c>
      <c r="AA35" s="3">
        <v>2.75</v>
      </c>
      <c r="AB35" s="2">
        <v>0.06</v>
      </c>
      <c r="AC35" s="2">
        <v>0</v>
      </c>
      <c r="AD35" s="15" t="s">
        <v>11</v>
      </c>
      <c r="AE35" s="14"/>
      <c r="AF35" s="2" t="s">
        <v>42</v>
      </c>
      <c r="AG35" s="3">
        <v>257</v>
      </c>
      <c r="AH35" s="3">
        <v>4.9500000000000002E-2</v>
      </c>
      <c r="AI35" s="2">
        <v>1.5800000000000002E-2</v>
      </c>
      <c r="AJ35" s="2">
        <v>0</v>
      </c>
    </row>
    <row r="36" spans="1:36" ht="16.8" x14ac:dyDescent="0.25">
      <c r="A36" s="15" t="s">
        <v>12</v>
      </c>
      <c r="B36" s="16" t="s">
        <v>127</v>
      </c>
      <c r="C36" s="2" t="s">
        <v>22</v>
      </c>
      <c r="D36" s="14"/>
      <c r="E36" s="3">
        <v>243</v>
      </c>
      <c r="F36" s="3">
        <v>0.374</v>
      </c>
      <c r="G36" s="6">
        <v>1.11E-2</v>
      </c>
      <c r="H36" s="2">
        <v>0</v>
      </c>
      <c r="I36" s="16" t="s">
        <v>52</v>
      </c>
      <c r="J36" s="14"/>
      <c r="K36" s="2" t="s">
        <v>43</v>
      </c>
      <c r="L36" s="2">
        <v>289</v>
      </c>
      <c r="M36" s="2">
        <v>0.17399999999999999</v>
      </c>
      <c r="N36" s="2">
        <v>0.14799999999999999</v>
      </c>
      <c r="O36" s="2">
        <v>0</v>
      </c>
      <c r="P36" s="15" t="s">
        <v>12</v>
      </c>
      <c r="Q36" s="14"/>
      <c r="R36" s="2" t="s">
        <v>43</v>
      </c>
      <c r="S36" s="2">
        <v>404</v>
      </c>
      <c r="T36" s="3">
        <v>0.621</v>
      </c>
      <c r="U36" s="7">
        <v>1.8200000000000001E-2</v>
      </c>
      <c r="V36" s="2">
        <v>0</v>
      </c>
      <c r="W36" s="15" t="s">
        <v>9</v>
      </c>
      <c r="X36" s="14"/>
      <c r="Y36" s="2" t="s">
        <v>43</v>
      </c>
      <c r="Z36" s="3">
        <v>340</v>
      </c>
      <c r="AA36" s="3">
        <v>3.44</v>
      </c>
      <c r="AB36" s="2">
        <v>7.4999999999999997E-2</v>
      </c>
      <c r="AC36" s="2">
        <v>0</v>
      </c>
      <c r="AD36" s="15" t="s">
        <v>11</v>
      </c>
      <c r="AE36" s="14"/>
      <c r="AF36" s="2" t="s">
        <v>43</v>
      </c>
      <c r="AG36" s="3">
        <v>321</v>
      </c>
      <c r="AH36" s="3">
        <v>6.1899999999999997E-2</v>
      </c>
      <c r="AI36" s="2">
        <v>1.9800000000000002E-2</v>
      </c>
      <c r="AJ36" s="2">
        <v>0</v>
      </c>
    </row>
    <row r="37" spans="1:36" ht="13.95" customHeight="1" x14ac:dyDescent="0.25">
      <c r="A37" s="15" t="s">
        <v>12</v>
      </c>
      <c r="B37" s="16" t="s">
        <v>128</v>
      </c>
      <c r="C37" s="2" t="s">
        <v>23</v>
      </c>
      <c r="D37" s="14"/>
      <c r="E37" s="3">
        <v>243</v>
      </c>
      <c r="F37" s="3">
        <v>0.375</v>
      </c>
      <c r="G37" s="6">
        <v>1.12E-2</v>
      </c>
      <c r="H37" s="2">
        <v>0</v>
      </c>
      <c r="I37" s="16" t="s">
        <v>52</v>
      </c>
      <c r="J37" s="14"/>
      <c r="K37" s="2" t="s">
        <v>44</v>
      </c>
      <c r="L37" s="2">
        <v>347</v>
      </c>
      <c r="M37" s="2">
        <v>0.20899999999999999</v>
      </c>
      <c r="N37" s="2">
        <v>0.17799999999999999</v>
      </c>
      <c r="O37" s="2">
        <v>0</v>
      </c>
      <c r="P37" s="15" t="s">
        <v>12</v>
      </c>
      <c r="Q37" s="14"/>
      <c r="R37" s="2" t="s">
        <v>44</v>
      </c>
      <c r="S37" s="2">
        <v>485</v>
      </c>
      <c r="T37" s="3">
        <v>0.746</v>
      </c>
      <c r="U37" s="7">
        <v>2.1899999999999999E-2</v>
      </c>
      <c r="V37" s="2">
        <v>0</v>
      </c>
      <c r="W37" s="15" t="s">
        <v>9</v>
      </c>
      <c r="X37" s="14"/>
      <c r="Y37" s="2" t="s">
        <v>44</v>
      </c>
      <c r="Z37" s="3">
        <v>408</v>
      </c>
      <c r="AA37" s="3">
        <v>4.12</v>
      </c>
      <c r="AB37" s="2">
        <v>0.09</v>
      </c>
      <c r="AC37" s="2">
        <v>0</v>
      </c>
      <c r="AD37" s="15" t="s">
        <v>11</v>
      </c>
      <c r="AE37" s="14"/>
      <c r="AF37" s="2" t="s">
        <v>44</v>
      </c>
      <c r="AG37" s="3">
        <v>386</v>
      </c>
      <c r="AH37" s="3">
        <v>7.4200000000000002E-2</v>
      </c>
      <c r="AI37" s="2">
        <v>2.3699999999999999E-2</v>
      </c>
      <c r="AJ37" s="2">
        <v>0</v>
      </c>
    </row>
    <row r="38" spans="1:36" ht="13.95" customHeight="1" x14ac:dyDescent="0.25">
      <c r="A38" s="15" t="s">
        <v>12</v>
      </c>
      <c r="B38" s="16" t="s">
        <v>129</v>
      </c>
      <c r="C38" s="2" t="s">
        <v>24</v>
      </c>
      <c r="D38" s="14"/>
      <c r="E38" s="3">
        <v>243</v>
      </c>
      <c r="F38" s="3">
        <v>0.375</v>
      </c>
      <c r="G38" s="6">
        <v>1.1299999999999999E-2</v>
      </c>
      <c r="H38" s="2">
        <v>0</v>
      </c>
      <c r="I38" s="16" t="s">
        <v>52</v>
      </c>
      <c r="J38" s="14" t="s">
        <v>58</v>
      </c>
      <c r="K38" s="2" t="s">
        <v>45</v>
      </c>
      <c r="L38" s="2">
        <v>57.8</v>
      </c>
      <c r="M38" s="2">
        <v>3.4700000000000002E-2</v>
      </c>
      <c r="N38" s="2">
        <v>2.9899999999999999E-2</v>
      </c>
      <c r="O38" s="2">
        <v>0</v>
      </c>
      <c r="P38" s="15" t="s">
        <v>12</v>
      </c>
      <c r="Q38" s="14" t="s">
        <v>58</v>
      </c>
      <c r="R38" s="2" t="s">
        <v>45</v>
      </c>
      <c r="S38" s="2">
        <v>80.900000000000006</v>
      </c>
      <c r="T38" s="3">
        <v>0.125</v>
      </c>
      <c r="U38" s="12" t="s">
        <v>86</v>
      </c>
      <c r="V38" s="2">
        <v>0</v>
      </c>
      <c r="W38" s="15" t="s">
        <v>9</v>
      </c>
      <c r="X38" s="14" t="s">
        <v>58</v>
      </c>
      <c r="Y38" s="2" t="s">
        <v>45</v>
      </c>
      <c r="Z38" s="3">
        <v>67.900000000000006</v>
      </c>
      <c r="AA38" s="3">
        <v>0.69699999999999995</v>
      </c>
      <c r="AB38" s="2">
        <v>1.5299999999999999E-2</v>
      </c>
      <c r="AC38" s="2">
        <v>0</v>
      </c>
      <c r="AD38" s="15" t="s">
        <v>11</v>
      </c>
      <c r="AE38" s="14" t="s">
        <v>58</v>
      </c>
      <c r="AF38" s="2" t="s">
        <v>45</v>
      </c>
      <c r="AG38" s="3">
        <v>64.900000000000006</v>
      </c>
      <c r="AH38" s="3">
        <v>1.26E-2</v>
      </c>
      <c r="AI38" s="11" t="s">
        <v>87</v>
      </c>
      <c r="AJ38" s="2">
        <v>0</v>
      </c>
    </row>
    <row r="39" spans="1:36" ht="13.95" customHeight="1" x14ac:dyDescent="0.25">
      <c r="A39" s="15" t="s">
        <v>12</v>
      </c>
      <c r="B39" s="16" t="s">
        <v>130</v>
      </c>
      <c r="C39" s="2" t="s">
        <v>25</v>
      </c>
      <c r="D39" s="14"/>
      <c r="E39" s="3">
        <v>243</v>
      </c>
      <c r="F39" s="3">
        <v>0.376</v>
      </c>
      <c r="G39" s="6">
        <v>1.14E-2</v>
      </c>
      <c r="H39" s="2">
        <v>0</v>
      </c>
      <c r="I39" s="16" t="s">
        <v>52</v>
      </c>
      <c r="J39" s="14"/>
      <c r="K39" s="2" t="s">
        <v>38</v>
      </c>
      <c r="L39" s="2">
        <v>116</v>
      </c>
      <c r="M39" s="2">
        <v>6.93E-2</v>
      </c>
      <c r="N39" s="2">
        <v>5.9900000000000002E-2</v>
      </c>
      <c r="O39" s="2">
        <v>0</v>
      </c>
      <c r="P39" s="15" t="s">
        <v>12</v>
      </c>
      <c r="Q39" s="14"/>
      <c r="R39" s="2" t="s">
        <v>38</v>
      </c>
      <c r="S39" s="2">
        <v>162</v>
      </c>
      <c r="T39" s="3">
        <v>0.249</v>
      </c>
      <c r="U39" s="12" t="s">
        <v>88</v>
      </c>
      <c r="V39" s="2">
        <v>0</v>
      </c>
      <c r="W39" s="15" t="s">
        <v>9</v>
      </c>
      <c r="X39" s="14"/>
      <c r="Y39" s="2" t="s">
        <v>38</v>
      </c>
      <c r="Z39" s="3">
        <v>136</v>
      </c>
      <c r="AA39" s="3">
        <v>1.39</v>
      </c>
      <c r="AB39" s="2">
        <v>3.0599999999999999E-2</v>
      </c>
      <c r="AC39" s="2">
        <v>0</v>
      </c>
      <c r="AD39" s="15" t="s">
        <v>11</v>
      </c>
      <c r="AE39" s="14"/>
      <c r="AF39" s="2" t="s">
        <v>38</v>
      </c>
      <c r="AG39" s="3">
        <v>130</v>
      </c>
      <c r="AH39" s="3">
        <v>2.52E-2</v>
      </c>
      <c r="AI39" s="11" t="s">
        <v>89</v>
      </c>
      <c r="AJ39" s="2">
        <v>0</v>
      </c>
    </row>
    <row r="40" spans="1:36" ht="13.95" customHeight="1" x14ac:dyDescent="0.25">
      <c r="A40" s="15" t="s">
        <v>12</v>
      </c>
      <c r="B40" s="16" t="s">
        <v>131</v>
      </c>
      <c r="C40" s="2" t="s">
        <v>26</v>
      </c>
      <c r="D40" s="14"/>
      <c r="E40" s="3">
        <v>244</v>
      </c>
      <c r="F40" s="3">
        <v>0.376</v>
      </c>
      <c r="G40" s="6">
        <v>1.14E-2</v>
      </c>
      <c r="H40" s="2">
        <v>0</v>
      </c>
      <c r="I40" s="16" t="s">
        <v>52</v>
      </c>
      <c r="J40" s="14"/>
      <c r="K40" s="2" t="s">
        <v>41</v>
      </c>
      <c r="L40" s="2">
        <f>VLOOKUP(J38,$C$2:$H$26,3,FALSE)</f>
        <v>173</v>
      </c>
      <c r="M40" s="2">
        <f>VLOOKUP(J38,$C$2:$H$26,4,FALSE)</f>
        <v>0.104</v>
      </c>
      <c r="N40" s="2">
        <f>VLOOKUP(J38,$C$2:$H$26,5,FALSE)</f>
        <v>8.9800000000000005E-2</v>
      </c>
      <c r="O40" s="2">
        <v>0</v>
      </c>
      <c r="P40" s="15" t="s">
        <v>12</v>
      </c>
      <c r="Q40" s="14"/>
      <c r="R40" s="2" t="s">
        <v>41</v>
      </c>
      <c r="S40" s="2">
        <f>VLOOKUP(Q38,$C$27:$H$51,3,FALSE)</f>
        <v>243</v>
      </c>
      <c r="T40" s="3">
        <f>VLOOKUP(Q38,$C$27:$H$51,4,FALSE)</f>
        <v>0.374</v>
      </c>
      <c r="U40" s="2">
        <f>VLOOKUP(Q38,$C$27:$H$51,5,FALSE)</f>
        <v>1.11E-2</v>
      </c>
      <c r="V40" s="2">
        <v>0</v>
      </c>
      <c r="W40" s="15" t="s">
        <v>9</v>
      </c>
      <c r="X40" s="14"/>
      <c r="Y40" s="2" t="s">
        <v>41</v>
      </c>
      <c r="Z40" s="3">
        <f>VLOOKUP(X38,$C$52:$H$76,3,FALSE)</f>
        <v>204</v>
      </c>
      <c r="AA40" s="3">
        <f>VLOOKUP(X38,$C$52:$H$76,4,FALSE)</f>
        <v>2.09</v>
      </c>
      <c r="AB40" s="2">
        <f>VLOOKUP(X38,$C$52:$H$76,5,FALSE)</f>
        <v>4.5900000000000003E-2</v>
      </c>
      <c r="AC40" s="2">
        <v>0</v>
      </c>
      <c r="AD40" s="15" t="s">
        <v>11</v>
      </c>
      <c r="AE40" s="14"/>
      <c r="AF40" s="2" t="s">
        <v>41</v>
      </c>
      <c r="AG40" s="3">
        <f>VLOOKUP(AE38,$C$77:$H$101,3,FALSE)</f>
        <v>195</v>
      </c>
      <c r="AH40" s="3">
        <f>VLOOKUP(AE38,$C$77:$H$101,4,FALSE)</f>
        <v>3.78E-2</v>
      </c>
      <c r="AI40" s="2">
        <f>VLOOKUP(AE38,$C$77:$H$101,5,FALSE)</f>
        <v>1.21E-2</v>
      </c>
      <c r="AJ40" s="2">
        <v>0</v>
      </c>
    </row>
    <row r="41" spans="1:36" ht="13.95" customHeight="1" x14ac:dyDescent="0.25">
      <c r="A41" s="15" t="s">
        <v>12</v>
      </c>
      <c r="B41" s="16" t="s">
        <v>132</v>
      </c>
      <c r="C41" s="2" t="s">
        <v>27</v>
      </c>
      <c r="D41" s="14"/>
      <c r="E41" s="3">
        <v>244</v>
      </c>
      <c r="F41" s="3">
        <v>0.377</v>
      </c>
      <c r="G41" s="6">
        <v>1.15E-2</v>
      </c>
      <c r="H41" s="2">
        <v>0</v>
      </c>
      <c r="I41" s="16" t="s">
        <v>52</v>
      </c>
      <c r="J41" s="14"/>
      <c r="K41" s="2" t="s">
        <v>42</v>
      </c>
      <c r="L41" s="2">
        <v>231</v>
      </c>
      <c r="M41" s="4">
        <v>0.13900000000000001</v>
      </c>
      <c r="N41" s="2">
        <v>0.12</v>
      </c>
      <c r="O41" s="2">
        <v>0</v>
      </c>
      <c r="P41" s="15" t="s">
        <v>12</v>
      </c>
      <c r="Q41" s="14"/>
      <c r="R41" s="2" t="s">
        <v>42</v>
      </c>
      <c r="S41" s="2">
        <v>323</v>
      </c>
      <c r="T41" s="3">
        <v>0.498</v>
      </c>
      <c r="U41" s="2">
        <v>1.47E-2</v>
      </c>
      <c r="V41" s="2">
        <v>0</v>
      </c>
      <c r="W41" s="15" t="s">
        <v>9</v>
      </c>
      <c r="X41" s="14"/>
      <c r="Y41" s="2" t="s">
        <v>42</v>
      </c>
      <c r="Z41" s="3">
        <v>272</v>
      </c>
      <c r="AA41" s="3">
        <v>2.79</v>
      </c>
      <c r="AB41" s="2">
        <v>6.1199999999999997E-2</v>
      </c>
      <c r="AC41" s="2">
        <v>0</v>
      </c>
      <c r="AD41" s="15" t="s">
        <v>11</v>
      </c>
      <c r="AE41" s="14"/>
      <c r="AF41" s="2" t="s">
        <v>42</v>
      </c>
      <c r="AG41" s="3">
        <v>259</v>
      </c>
      <c r="AH41" s="3">
        <v>5.04E-2</v>
      </c>
      <c r="AI41" s="2">
        <v>1.61E-2</v>
      </c>
      <c r="AJ41" s="2">
        <v>0</v>
      </c>
    </row>
    <row r="42" spans="1:36" ht="13.95" customHeight="1" x14ac:dyDescent="0.25">
      <c r="A42" s="15" t="s">
        <v>12</v>
      </c>
      <c r="B42" s="16" t="s">
        <v>133</v>
      </c>
      <c r="C42" s="2" t="s">
        <v>28</v>
      </c>
      <c r="D42" s="14"/>
      <c r="E42" s="3">
        <v>245</v>
      </c>
      <c r="F42" s="3">
        <v>0.377</v>
      </c>
      <c r="G42" s="6">
        <v>1.1599999999999999E-2</v>
      </c>
      <c r="H42" s="2">
        <v>0</v>
      </c>
      <c r="I42" s="16" t="s">
        <v>52</v>
      </c>
      <c r="J42" s="14"/>
      <c r="K42" s="2" t="s">
        <v>43</v>
      </c>
      <c r="L42" s="2">
        <v>289</v>
      </c>
      <c r="M42" s="2">
        <v>0.17299999999999999</v>
      </c>
      <c r="N42" s="2">
        <v>0.15</v>
      </c>
      <c r="O42" s="2">
        <v>0</v>
      </c>
      <c r="P42" s="15" t="s">
        <v>12</v>
      </c>
      <c r="Q42" s="14"/>
      <c r="R42" s="2" t="s">
        <v>43</v>
      </c>
      <c r="S42" s="2">
        <v>404</v>
      </c>
      <c r="T42" s="3">
        <v>0.623</v>
      </c>
      <c r="U42" s="2">
        <v>1.84E-2</v>
      </c>
      <c r="V42" s="2">
        <v>0</v>
      </c>
      <c r="W42" s="15" t="s">
        <v>9</v>
      </c>
      <c r="X42" s="14"/>
      <c r="Y42" s="2" t="s">
        <v>43</v>
      </c>
      <c r="Z42" s="3">
        <v>339</v>
      </c>
      <c r="AA42" s="3">
        <v>3.48</v>
      </c>
      <c r="AB42" s="2">
        <v>7.6499999999999999E-2</v>
      </c>
      <c r="AC42" s="2">
        <v>0</v>
      </c>
      <c r="AD42" s="15" t="s">
        <v>11</v>
      </c>
      <c r="AE42" s="14"/>
      <c r="AF42" s="2" t="s">
        <v>43</v>
      </c>
      <c r="AG42" s="3">
        <v>324</v>
      </c>
      <c r="AH42" s="3">
        <v>6.3E-2</v>
      </c>
      <c r="AI42" s="2">
        <v>2.01E-2</v>
      </c>
      <c r="AJ42" s="2">
        <v>0</v>
      </c>
    </row>
    <row r="43" spans="1:36" ht="13.95" customHeight="1" x14ac:dyDescent="0.25">
      <c r="A43" s="15" t="s">
        <v>12</v>
      </c>
      <c r="B43" s="16" t="s">
        <v>134</v>
      </c>
      <c r="C43" s="2" t="s">
        <v>29</v>
      </c>
      <c r="D43" s="14"/>
      <c r="E43" s="3">
        <v>246</v>
      </c>
      <c r="F43" s="3">
        <v>0.378</v>
      </c>
      <c r="G43" s="6">
        <v>1.18E-2</v>
      </c>
      <c r="H43" s="2">
        <v>0</v>
      </c>
      <c r="I43" s="16" t="s">
        <v>52</v>
      </c>
      <c r="J43" s="14"/>
      <c r="K43" s="2" t="s">
        <v>44</v>
      </c>
      <c r="L43" s="2">
        <v>347</v>
      </c>
      <c r="M43" s="2">
        <v>0.20799999999999999</v>
      </c>
      <c r="N43" s="2">
        <v>0.18</v>
      </c>
      <c r="O43" s="2">
        <v>0</v>
      </c>
      <c r="P43" s="15" t="s">
        <v>12</v>
      </c>
      <c r="Q43" s="14"/>
      <c r="R43" s="2" t="s">
        <v>44</v>
      </c>
      <c r="S43" s="2">
        <v>485</v>
      </c>
      <c r="T43" s="3">
        <v>0.747</v>
      </c>
      <c r="U43" s="2">
        <v>2.2100000000000002E-2</v>
      </c>
      <c r="V43" s="2">
        <v>0</v>
      </c>
      <c r="W43" s="15" t="s">
        <v>9</v>
      </c>
      <c r="X43" s="14"/>
      <c r="Y43" s="2" t="s">
        <v>44</v>
      </c>
      <c r="Z43" s="3">
        <v>407</v>
      </c>
      <c r="AA43" s="3">
        <v>4.18</v>
      </c>
      <c r="AB43" s="2">
        <v>9.1800000000000007E-2</v>
      </c>
      <c r="AC43" s="2">
        <v>0</v>
      </c>
      <c r="AD43" s="15" t="s">
        <v>11</v>
      </c>
      <c r="AE43" s="14"/>
      <c r="AF43" s="2" t="s">
        <v>44</v>
      </c>
      <c r="AG43" s="3">
        <v>389</v>
      </c>
      <c r="AH43" s="3">
        <v>7.5600000000000001E-2</v>
      </c>
      <c r="AI43" s="2">
        <v>2.41E-2</v>
      </c>
      <c r="AJ43" s="2">
        <v>0</v>
      </c>
    </row>
    <row r="44" spans="1:36" ht="13.95" customHeight="1" x14ac:dyDescent="0.25">
      <c r="A44" s="15" t="s">
        <v>12</v>
      </c>
      <c r="B44" s="16" t="s">
        <v>135</v>
      </c>
      <c r="C44" s="2" t="s">
        <v>30</v>
      </c>
      <c r="D44" s="14"/>
      <c r="E44" s="3">
        <v>247</v>
      </c>
      <c r="F44" s="3">
        <v>0.378</v>
      </c>
      <c r="G44" s="6">
        <v>1.1900000000000001E-2</v>
      </c>
      <c r="H44" s="2">
        <v>0</v>
      </c>
      <c r="I44" s="16" t="s">
        <v>52</v>
      </c>
      <c r="J44" s="14" t="s">
        <v>59</v>
      </c>
      <c r="K44" s="2" t="s">
        <v>45</v>
      </c>
      <c r="L44" s="2">
        <v>57.7</v>
      </c>
      <c r="M44" s="2">
        <v>3.4500000000000003E-2</v>
      </c>
      <c r="N44" s="2">
        <v>3.0300000000000001E-2</v>
      </c>
      <c r="O44" s="2">
        <v>0</v>
      </c>
      <c r="P44" s="15" t="s">
        <v>12</v>
      </c>
      <c r="Q44" s="14" t="s">
        <v>59</v>
      </c>
      <c r="R44" s="2" t="s">
        <v>45</v>
      </c>
      <c r="S44" s="2">
        <v>80.900000000000006</v>
      </c>
      <c r="T44" s="3">
        <v>0.125</v>
      </c>
      <c r="U44" s="12" t="s">
        <v>90</v>
      </c>
      <c r="V44" s="2">
        <v>0</v>
      </c>
      <c r="W44" s="15" t="s">
        <v>9</v>
      </c>
      <c r="X44" s="14" t="s">
        <v>59</v>
      </c>
      <c r="Y44" s="2" t="s">
        <v>45</v>
      </c>
      <c r="Z44" s="3">
        <v>67.7</v>
      </c>
      <c r="AA44" s="3">
        <v>0.70699999999999996</v>
      </c>
      <c r="AB44" s="2">
        <v>1.5599999999999999E-2</v>
      </c>
      <c r="AC44" s="2">
        <v>0</v>
      </c>
      <c r="AD44" s="15" t="s">
        <v>11</v>
      </c>
      <c r="AE44" s="14" t="s">
        <v>59</v>
      </c>
      <c r="AF44" s="2" t="s">
        <v>45</v>
      </c>
      <c r="AG44" s="3">
        <v>65.5</v>
      </c>
      <c r="AH44" s="3">
        <v>1.2800000000000001E-2</v>
      </c>
      <c r="AI44" s="11" t="s">
        <v>91</v>
      </c>
      <c r="AJ44" s="2">
        <v>0</v>
      </c>
    </row>
    <row r="45" spans="1:36" ht="13.95" customHeight="1" x14ac:dyDescent="0.25">
      <c r="A45" s="15" t="s">
        <v>12</v>
      </c>
      <c r="B45" s="16" t="s">
        <v>136</v>
      </c>
      <c r="C45" s="2" t="s">
        <v>31</v>
      </c>
      <c r="D45" s="14"/>
      <c r="E45" s="3">
        <v>247</v>
      </c>
      <c r="F45" s="3">
        <v>0.379</v>
      </c>
      <c r="G45" s="6">
        <v>1.2E-2</v>
      </c>
      <c r="H45" s="2">
        <v>0</v>
      </c>
      <c r="I45" s="16" t="s">
        <v>52</v>
      </c>
      <c r="J45" s="14"/>
      <c r="K45" s="2" t="s">
        <v>38</v>
      </c>
      <c r="L45" s="2">
        <v>115</v>
      </c>
      <c r="M45" s="2">
        <v>6.9099999999999995E-2</v>
      </c>
      <c r="N45" s="2">
        <v>6.0600000000000001E-2</v>
      </c>
      <c r="O45" s="2">
        <v>0</v>
      </c>
      <c r="P45" s="15" t="s">
        <v>12</v>
      </c>
      <c r="Q45" s="14"/>
      <c r="R45" s="2" t="s">
        <v>38</v>
      </c>
      <c r="S45" s="2">
        <v>162</v>
      </c>
      <c r="T45" s="3">
        <v>0.25</v>
      </c>
      <c r="U45" s="12" t="s">
        <v>92</v>
      </c>
      <c r="V45" s="2">
        <v>0</v>
      </c>
      <c r="W45" s="15" t="s">
        <v>9</v>
      </c>
      <c r="X45" s="14"/>
      <c r="Y45" s="2" t="s">
        <v>38</v>
      </c>
      <c r="Z45" s="3">
        <v>135</v>
      </c>
      <c r="AA45" s="3">
        <v>1.41</v>
      </c>
      <c r="AB45" s="2">
        <v>3.1199999999999999E-2</v>
      </c>
      <c r="AC45" s="2">
        <v>0</v>
      </c>
      <c r="AD45" s="15" t="s">
        <v>11</v>
      </c>
      <c r="AE45" s="14"/>
      <c r="AF45" s="2" t="s">
        <v>38</v>
      </c>
      <c r="AG45" s="3">
        <v>131</v>
      </c>
      <c r="AH45" s="3">
        <v>2.5700000000000001E-2</v>
      </c>
      <c r="AI45" s="11" t="s">
        <v>97</v>
      </c>
      <c r="AJ45" s="2">
        <v>0</v>
      </c>
    </row>
    <row r="46" spans="1:36" ht="13.95" customHeight="1" x14ac:dyDescent="0.25">
      <c r="A46" s="15" t="s">
        <v>12</v>
      </c>
      <c r="B46" s="16" t="s">
        <v>137</v>
      </c>
      <c r="C46" s="2" t="s">
        <v>32</v>
      </c>
      <c r="D46" s="14"/>
      <c r="E46" s="3">
        <v>248</v>
      </c>
      <c r="F46" s="3">
        <v>0.379</v>
      </c>
      <c r="G46" s="6">
        <v>1.21E-2</v>
      </c>
      <c r="H46" s="2">
        <v>0</v>
      </c>
      <c r="I46" s="16" t="s">
        <v>52</v>
      </c>
      <c r="J46" s="14"/>
      <c r="K46" s="2" t="s">
        <v>41</v>
      </c>
      <c r="L46" s="2">
        <f t="shared" ref="L46" si="9">VLOOKUP(J44,$C$2:$H$26,3,FALSE)</f>
        <v>173</v>
      </c>
      <c r="M46" s="2">
        <f t="shared" ref="M46" si="10">VLOOKUP(J44,$C$2:$H$26,4,FALSE)</f>
        <v>0.104</v>
      </c>
      <c r="N46" s="2">
        <f t="shared" ref="N46" si="11">VLOOKUP(J44,$C$2:$H$26,5,FALSE)</f>
        <v>9.0899999999999995E-2</v>
      </c>
      <c r="O46" s="2">
        <v>0</v>
      </c>
      <c r="P46" s="15" t="s">
        <v>12</v>
      </c>
      <c r="Q46" s="14"/>
      <c r="R46" s="2" t="s">
        <v>41</v>
      </c>
      <c r="S46" s="2">
        <f>VLOOKUP(Q44,$C$27:$H$51,3,FALSE)</f>
        <v>243</v>
      </c>
      <c r="T46" s="3">
        <f>VLOOKUP(Q44,$C$27:$H$51,4,FALSE)</f>
        <v>0.375</v>
      </c>
      <c r="U46" s="2">
        <f>VLOOKUP(Q44,$C$27:$H$51,5,FALSE)</f>
        <v>1.12E-2</v>
      </c>
      <c r="V46" s="2">
        <v>0</v>
      </c>
      <c r="W46" s="15" t="s">
        <v>9</v>
      </c>
      <c r="X46" s="14"/>
      <c r="Y46" s="2" t="s">
        <v>41</v>
      </c>
      <c r="Z46" s="3">
        <f>VLOOKUP(X44,$C$52:$H$76,3,FALSE)</f>
        <v>203</v>
      </c>
      <c r="AA46" s="3">
        <f>VLOOKUP(X44,$C$52:$H$76,4,FALSE)</f>
        <v>2.12</v>
      </c>
      <c r="AB46" s="2">
        <f>VLOOKUP(X44,$C$52:$H$76,5,FALSE)</f>
        <v>4.6800000000000001E-2</v>
      </c>
      <c r="AC46" s="2">
        <v>0</v>
      </c>
      <c r="AD46" s="15" t="s">
        <v>11</v>
      </c>
      <c r="AE46" s="14"/>
      <c r="AF46" s="2" t="s">
        <v>41</v>
      </c>
      <c r="AG46" s="3">
        <f>VLOOKUP(AE44,$C$77:$H$101,3,FALSE)</f>
        <v>196</v>
      </c>
      <c r="AH46" s="3">
        <f>VLOOKUP(AE44,$C$77:$H$101,4,FALSE)</f>
        <v>3.85E-2</v>
      </c>
      <c r="AI46" s="2">
        <f>VLOOKUP(AE44,$C$77:$H$101,5,FALSE)</f>
        <v>1.23E-2</v>
      </c>
      <c r="AJ46" s="2">
        <v>0</v>
      </c>
    </row>
    <row r="47" spans="1:36" ht="13.95" customHeight="1" x14ac:dyDescent="0.25">
      <c r="A47" s="15" t="s">
        <v>12</v>
      </c>
      <c r="B47" s="16" t="s">
        <v>138</v>
      </c>
      <c r="C47" s="2" t="s">
        <v>33</v>
      </c>
      <c r="D47" s="14"/>
      <c r="E47" s="3">
        <v>249</v>
      </c>
      <c r="F47" s="3">
        <v>0.38</v>
      </c>
      <c r="G47" s="6">
        <v>1.23E-2</v>
      </c>
      <c r="H47" s="2">
        <v>0</v>
      </c>
      <c r="I47" s="16" t="s">
        <v>52</v>
      </c>
      <c r="J47" s="14"/>
      <c r="K47" s="2" t="s">
        <v>42</v>
      </c>
      <c r="L47" s="2">
        <v>231</v>
      </c>
      <c r="M47" s="4">
        <v>0.13800000000000001</v>
      </c>
      <c r="N47" s="2">
        <v>0.121</v>
      </c>
      <c r="O47" s="2">
        <v>0</v>
      </c>
      <c r="P47" s="15" t="s">
        <v>12</v>
      </c>
      <c r="Q47" s="14"/>
      <c r="R47" s="2" t="s">
        <v>42</v>
      </c>
      <c r="S47" s="2">
        <v>323</v>
      </c>
      <c r="T47" s="3">
        <v>0.499</v>
      </c>
      <c r="U47" s="2">
        <v>1.49E-2</v>
      </c>
      <c r="V47" s="2">
        <v>0</v>
      </c>
      <c r="W47" s="15" t="s">
        <v>9</v>
      </c>
      <c r="X47" s="14"/>
      <c r="Y47" s="2" t="s">
        <v>42</v>
      </c>
      <c r="Z47" s="3">
        <v>271</v>
      </c>
      <c r="AA47" s="3">
        <v>2.83</v>
      </c>
      <c r="AB47" s="2">
        <v>6.2399999999999997E-2</v>
      </c>
      <c r="AC47" s="2">
        <v>0</v>
      </c>
      <c r="AD47" s="15" t="s">
        <v>11</v>
      </c>
      <c r="AE47" s="14"/>
      <c r="AF47" s="2" t="s">
        <v>42</v>
      </c>
      <c r="AG47" s="3">
        <v>262</v>
      </c>
      <c r="AH47" s="3">
        <v>5.1400000000000001E-2</v>
      </c>
      <c r="AI47" s="2">
        <v>1.6400000000000001E-2</v>
      </c>
      <c r="AJ47" s="2">
        <v>0</v>
      </c>
    </row>
    <row r="48" spans="1:36" ht="13.95" customHeight="1" x14ac:dyDescent="0.25">
      <c r="A48" s="15" t="s">
        <v>12</v>
      </c>
      <c r="B48" s="16" t="s">
        <v>139</v>
      </c>
      <c r="C48" s="2" t="s">
        <v>34</v>
      </c>
      <c r="D48" s="14"/>
      <c r="E48" s="3">
        <v>249</v>
      </c>
      <c r="F48" s="3">
        <v>0.38</v>
      </c>
      <c r="G48" s="6">
        <v>1.24E-2</v>
      </c>
      <c r="H48" s="2">
        <v>0</v>
      </c>
      <c r="I48" s="16" t="s">
        <v>52</v>
      </c>
      <c r="J48" s="14"/>
      <c r="K48" s="2" t="s">
        <v>43</v>
      </c>
      <c r="L48" s="2">
        <v>289</v>
      </c>
      <c r="M48" s="2">
        <v>0.17299999999999999</v>
      </c>
      <c r="N48" s="2">
        <v>0.152</v>
      </c>
      <c r="O48" s="2">
        <v>0</v>
      </c>
      <c r="P48" s="15" t="s">
        <v>12</v>
      </c>
      <c r="Q48" s="14"/>
      <c r="R48" s="2" t="s">
        <v>43</v>
      </c>
      <c r="S48" s="2">
        <v>404</v>
      </c>
      <c r="T48" s="3">
        <v>0.624</v>
      </c>
      <c r="U48" s="2">
        <v>1.8700000000000001E-2</v>
      </c>
      <c r="V48" s="2">
        <v>0</v>
      </c>
      <c r="W48" s="15" t="s">
        <v>9</v>
      </c>
      <c r="X48" s="14"/>
      <c r="Y48" s="2" t="s">
        <v>43</v>
      </c>
      <c r="Z48" s="3">
        <v>338</v>
      </c>
      <c r="AA48" s="3">
        <v>3.54</v>
      </c>
      <c r="AB48" s="2">
        <v>7.8E-2</v>
      </c>
      <c r="AC48" s="2">
        <v>0</v>
      </c>
      <c r="AD48" s="15" t="s">
        <v>11</v>
      </c>
      <c r="AE48" s="14"/>
      <c r="AF48" s="2" t="s">
        <v>43</v>
      </c>
      <c r="AG48" s="3">
        <v>327</v>
      </c>
      <c r="AH48" s="3">
        <v>6.4199999999999993E-2</v>
      </c>
      <c r="AI48" s="2">
        <v>2.0500000000000001E-2</v>
      </c>
      <c r="AJ48" s="2">
        <v>0</v>
      </c>
    </row>
    <row r="49" spans="1:36" ht="13.95" customHeight="1" x14ac:dyDescent="0.25">
      <c r="A49" s="15" t="s">
        <v>12</v>
      </c>
      <c r="B49" s="16" t="s">
        <v>140</v>
      </c>
      <c r="C49" s="2" t="s">
        <v>35</v>
      </c>
      <c r="D49" s="14"/>
      <c r="E49" s="3">
        <v>250</v>
      </c>
      <c r="F49" s="3">
        <v>0.38100000000000001</v>
      </c>
      <c r="G49" s="6">
        <v>1.26E-2</v>
      </c>
      <c r="H49" s="2">
        <v>0</v>
      </c>
      <c r="I49" s="16" t="s">
        <v>52</v>
      </c>
      <c r="J49" s="14"/>
      <c r="K49" s="2" t="s">
        <v>44</v>
      </c>
      <c r="L49" s="2">
        <v>346</v>
      </c>
      <c r="M49" s="2">
        <v>0.20699999999999999</v>
      </c>
      <c r="N49" s="2">
        <v>0.182</v>
      </c>
      <c r="O49" s="2">
        <v>0</v>
      </c>
      <c r="P49" s="15" t="s">
        <v>12</v>
      </c>
      <c r="Q49" s="14"/>
      <c r="R49" s="2" t="s">
        <v>44</v>
      </c>
      <c r="S49" s="2">
        <v>485</v>
      </c>
      <c r="T49" s="3">
        <v>0.749</v>
      </c>
      <c r="U49" s="2">
        <v>2.24E-2</v>
      </c>
      <c r="V49" s="2">
        <v>0</v>
      </c>
      <c r="W49" s="15" t="s">
        <v>9</v>
      </c>
      <c r="X49" s="14"/>
      <c r="Y49" s="2" t="s">
        <v>44</v>
      </c>
      <c r="Z49" s="3">
        <v>406</v>
      </c>
      <c r="AA49" s="3">
        <v>4.24</v>
      </c>
      <c r="AB49" s="2">
        <v>9.3600000000000003E-2</v>
      </c>
      <c r="AC49" s="2">
        <v>0</v>
      </c>
      <c r="AD49" s="15" t="s">
        <v>11</v>
      </c>
      <c r="AE49" s="14"/>
      <c r="AF49" s="2" t="s">
        <v>44</v>
      </c>
      <c r="AG49" s="3">
        <v>393</v>
      </c>
      <c r="AH49" s="3">
        <v>7.7100000000000002E-2</v>
      </c>
      <c r="AI49" s="2">
        <v>2.46E-2</v>
      </c>
      <c r="AJ49" s="2">
        <v>0</v>
      </c>
    </row>
    <row r="50" spans="1:36" ht="13.95" customHeight="1" x14ac:dyDescent="0.25">
      <c r="A50" s="15" t="s">
        <v>12</v>
      </c>
      <c r="B50" s="16" t="s">
        <v>141</v>
      </c>
      <c r="C50" s="2" t="s">
        <v>36</v>
      </c>
      <c r="D50" s="14"/>
      <c r="E50" s="3">
        <v>250</v>
      </c>
      <c r="F50" s="3">
        <v>0.38200000000000001</v>
      </c>
      <c r="G50" s="6">
        <v>1.2800000000000001E-2</v>
      </c>
      <c r="H50" s="2">
        <v>0</v>
      </c>
      <c r="I50" s="16" t="s">
        <v>52</v>
      </c>
      <c r="J50" s="14" t="s">
        <v>60</v>
      </c>
      <c r="K50" s="2" t="s">
        <v>45</v>
      </c>
      <c r="L50" s="6">
        <v>57.7</v>
      </c>
      <c r="M50" s="6">
        <v>3.44E-2</v>
      </c>
      <c r="N50" s="2">
        <v>3.0700000000000002E-2</v>
      </c>
      <c r="O50" s="2">
        <v>0</v>
      </c>
      <c r="P50" s="15" t="s">
        <v>12</v>
      </c>
      <c r="Q50" s="14" t="s">
        <v>60</v>
      </c>
      <c r="R50" s="2" t="s">
        <v>45</v>
      </c>
      <c r="S50" s="2">
        <v>80.900000000000006</v>
      </c>
      <c r="T50" s="3">
        <v>0.125</v>
      </c>
      <c r="U50" s="12" t="s">
        <v>94</v>
      </c>
      <c r="V50" s="2">
        <v>0</v>
      </c>
      <c r="W50" s="15" t="s">
        <v>9</v>
      </c>
      <c r="X50" s="14" t="s">
        <v>60</v>
      </c>
      <c r="Y50" s="2" t="s">
        <v>45</v>
      </c>
      <c r="Z50" s="3">
        <v>67.5</v>
      </c>
      <c r="AA50" s="3">
        <v>0.71799999999999997</v>
      </c>
      <c r="AB50" s="2">
        <v>1.5900000000000001E-2</v>
      </c>
      <c r="AC50" s="2">
        <v>0</v>
      </c>
      <c r="AD50" s="15" t="s">
        <v>11</v>
      </c>
      <c r="AE50" s="14" t="s">
        <v>60</v>
      </c>
      <c r="AF50" s="2" t="s">
        <v>45</v>
      </c>
      <c r="AG50" s="3">
        <v>66.099999999999994</v>
      </c>
      <c r="AH50" s="3">
        <v>1.3100000000000001E-2</v>
      </c>
      <c r="AI50" s="11" t="s">
        <v>95</v>
      </c>
      <c r="AJ50" s="2">
        <v>0</v>
      </c>
    </row>
    <row r="51" spans="1:36" ht="13.95" customHeight="1" x14ac:dyDescent="0.25">
      <c r="A51" s="15" t="s">
        <v>12</v>
      </c>
      <c r="B51" s="16" t="s">
        <v>142</v>
      </c>
      <c r="C51" s="2" t="s">
        <v>37</v>
      </c>
      <c r="D51" s="14"/>
      <c r="E51" s="3">
        <v>251</v>
      </c>
      <c r="F51" s="3">
        <v>0.38200000000000001</v>
      </c>
      <c r="G51" s="6">
        <v>1.29E-2</v>
      </c>
      <c r="H51" s="2">
        <v>0</v>
      </c>
      <c r="I51" s="16" t="s">
        <v>52</v>
      </c>
      <c r="J51" s="14"/>
      <c r="K51" s="2" t="s">
        <v>38</v>
      </c>
      <c r="L51" s="2">
        <v>115</v>
      </c>
      <c r="M51" s="2">
        <v>6.8900000000000003E-2</v>
      </c>
      <c r="N51" s="2">
        <v>6.1499999999999999E-2</v>
      </c>
      <c r="O51" s="2">
        <v>0</v>
      </c>
      <c r="P51" s="15" t="s">
        <v>12</v>
      </c>
      <c r="Q51" s="14"/>
      <c r="R51" s="2" t="s">
        <v>38</v>
      </c>
      <c r="S51" s="2">
        <v>162</v>
      </c>
      <c r="T51" s="3">
        <v>0.25</v>
      </c>
      <c r="U51" s="12" t="s">
        <v>96</v>
      </c>
      <c r="V51" s="2">
        <v>0</v>
      </c>
      <c r="W51" s="15" t="s">
        <v>9</v>
      </c>
      <c r="X51" s="14"/>
      <c r="Y51" s="2" t="s">
        <v>38</v>
      </c>
      <c r="Z51" s="3">
        <v>135</v>
      </c>
      <c r="AA51" s="3">
        <v>1.44</v>
      </c>
      <c r="AB51" s="2">
        <v>3.1899999999999998E-2</v>
      </c>
      <c r="AC51" s="2">
        <v>0</v>
      </c>
      <c r="AD51" s="15" t="s">
        <v>11</v>
      </c>
      <c r="AE51" s="14"/>
      <c r="AF51" s="2" t="s">
        <v>38</v>
      </c>
      <c r="AG51" s="3">
        <v>132</v>
      </c>
      <c r="AH51" s="3">
        <v>2.6200000000000001E-2</v>
      </c>
      <c r="AI51" s="11" t="s">
        <v>93</v>
      </c>
      <c r="AJ51" s="2">
        <v>0</v>
      </c>
    </row>
    <row r="52" spans="1:36" ht="13.95" customHeight="1" x14ac:dyDescent="0.25">
      <c r="A52" s="15" t="s">
        <v>9</v>
      </c>
      <c r="B52" s="16" t="s">
        <v>0</v>
      </c>
      <c r="C52" s="2" t="s">
        <v>14</v>
      </c>
      <c r="D52" s="14" t="s">
        <v>1</v>
      </c>
      <c r="E52" s="3">
        <v>206</v>
      </c>
      <c r="F52" s="3">
        <v>1.99</v>
      </c>
      <c r="G52" s="6">
        <v>4.2500000000000003E-2</v>
      </c>
      <c r="H52" s="2">
        <v>0</v>
      </c>
      <c r="I52" s="16" t="s">
        <v>52</v>
      </c>
      <c r="J52" s="14"/>
      <c r="K52" s="2" t="s">
        <v>41</v>
      </c>
      <c r="L52" s="2">
        <f t="shared" ref="L52" si="12">VLOOKUP(J50,$C$2:$H$26,3,FALSE)</f>
        <v>173</v>
      </c>
      <c r="M52" s="2">
        <f t="shared" ref="M52" si="13">VLOOKUP(J50,$C$2:$H$26,4,FALSE)</f>
        <v>0.10299999999999999</v>
      </c>
      <c r="N52" s="2">
        <f t="shared" ref="N52" si="14">VLOOKUP(J50,$C$2:$H$26,5,FALSE)</f>
        <v>9.2200000000000004E-2</v>
      </c>
      <c r="O52" s="2">
        <v>0</v>
      </c>
      <c r="P52" s="15" t="s">
        <v>12</v>
      </c>
      <c r="Q52" s="14"/>
      <c r="R52" s="2" t="s">
        <v>41</v>
      </c>
      <c r="S52" s="2">
        <f>VLOOKUP(Q50,$C$27:$H$51,3,FALSE)</f>
        <v>243</v>
      </c>
      <c r="T52" s="3">
        <f>VLOOKUP(Q50,$C$27:$H$51,4,FALSE)</f>
        <v>0.376</v>
      </c>
      <c r="U52" s="2">
        <f>VLOOKUP(Q50,$C$27:$H$51,5,FALSE)</f>
        <v>1.14E-2</v>
      </c>
      <c r="V52" s="2">
        <v>0</v>
      </c>
      <c r="W52" s="15" t="s">
        <v>9</v>
      </c>
      <c r="X52" s="14"/>
      <c r="Y52" s="2" t="s">
        <v>41</v>
      </c>
      <c r="Z52" s="3">
        <f t="shared" ref="Z52" si="15">VLOOKUP(X50,$C$52:$H$76,3,FALSE)</f>
        <v>203</v>
      </c>
      <c r="AA52" s="3">
        <f t="shared" ref="AA52" si="16">VLOOKUP(X50,$C$52:$H$76,4,FALSE)</f>
        <v>2.15</v>
      </c>
      <c r="AB52" s="2">
        <f t="shared" ref="AB52" si="17">VLOOKUP(X50,$C$52:$H$76,5,FALSE)</f>
        <v>4.7800000000000002E-2</v>
      </c>
      <c r="AC52" s="2">
        <v>0</v>
      </c>
      <c r="AD52" s="15" t="s">
        <v>11</v>
      </c>
      <c r="AE52" s="14"/>
      <c r="AF52" s="2" t="s">
        <v>41</v>
      </c>
      <c r="AG52" s="3">
        <f>VLOOKUP(AE50,$C$77:$H$101,3,FALSE)</f>
        <v>198</v>
      </c>
      <c r="AH52" s="3">
        <f>VLOOKUP(AE50,$C$77:$H$101,4,FALSE)</f>
        <v>3.9399999999999998E-2</v>
      </c>
      <c r="AI52" s="2">
        <f>VLOOKUP(AE50,$C$77:$H$101,5,FALSE)</f>
        <v>1.2500000000000001E-2</v>
      </c>
      <c r="AJ52" s="2">
        <v>0</v>
      </c>
    </row>
    <row r="53" spans="1:36" ht="13.95" customHeight="1" x14ac:dyDescent="0.25">
      <c r="A53" s="15" t="s">
        <v>9</v>
      </c>
      <c r="B53" s="16" t="s">
        <v>143</v>
      </c>
      <c r="C53" s="2" t="s">
        <v>13</v>
      </c>
      <c r="D53" s="14"/>
      <c r="E53" s="3">
        <v>206</v>
      </c>
      <c r="F53" s="3">
        <v>2</v>
      </c>
      <c r="G53" s="6">
        <v>4.2900000000000001E-2</v>
      </c>
      <c r="H53" s="2">
        <v>0</v>
      </c>
      <c r="I53" s="16" t="s">
        <v>52</v>
      </c>
      <c r="J53" s="14"/>
      <c r="K53" s="2" t="s">
        <v>42</v>
      </c>
      <c r="L53" s="2">
        <v>231</v>
      </c>
      <c r="M53" s="4">
        <v>0.13800000000000001</v>
      </c>
      <c r="N53" s="2">
        <v>0.123</v>
      </c>
      <c r="O53" s="2">
        <v>0</v>
      </c>
      <c r="P53" s="15" t="s">
        <v>12</v>
      </c>
      <c r="Q53" s="14"/>
      <c r="R53" s="2" t="s">
        <v>42</v>
      </c>
      <c r="S53" s="2">
        <v>324</v>
      </c>
      <c r="T53" s="3">
        <v>0.501</v>
      </c>
      <c r="U53" s="2">
        <v>1.5100000000000001E-2</v>
      </c>
      <c r="V53" s="2">
        <v>0</v>
      </c>
      <c r="W53" s="15" t="s">
        <v>9</v>
      </c>
      <c r="X53" s="14"/>
      <c r="Y53" s="2" t="s">
        <v>42</v>
      </c>
      <c r="Z53" s="3">
        <v>270</v>
      </c>
      <c r="AA53" s="3">
        <v>2.87</v>
      </c>
      <c r="AB53" s="2">
        <v>6.3700000000000007E-2</v>
      </c>
      <c r="AC53" s="2">
        <v>0</v>
      </c>
      <c r="AD53" s="15" t="s">
        <v>11</v>
      </c>
      <c r="AE53" s="14"/>
      <c r="AF53" s="2" t="s">
        <v>42</v>
      </c>
      <c r="AG53" s="3">
        <v>264</v>
      </c>
      <c r="AH53" s="3">
        <v>5.2499999999999998E-2</v>
      </c>
      <c r="AI53" s="2">
        <v>1.67E-2</v>
      </c>
      <c r="AJ53" s="2">
        <v>0</v>
      </c>
    </row>
    <row r="54" spans="1:36" ht="13.95" customHeight="1" x14ac:dyDescent="0.25">
      <c r="A54" s="15" t="s">
        <v>9</v>
      </c>
      <c r="B54" s="16" t="s">
        <v>144</v>
      </c>
      <c r="C54" s="2" t="s">
        <v>15</v>
      </c>
      <c r="D54" s="14"/>
      <c r="E54" s="3">
        <v>205</v>
      </c>
      <c r="F54" s="3">
        <v>2.0099999999999998</v>
      </c>
      <c r="G54" s="6">
        <v>4.3299999999999998E-2</v>
      </c>
      <c r="H54" s="2">
        <v>0</v>
      </c>
      <c r="I54" s="16" t="s">
        <v>52</v>
      </c>
      <c r="J54" s="14"/>
      <c r="K54" s="2" t="s">
        <v>43</v>
      </c>
      <c r="L54" s="2">
        <v>288</v>
      </c>
      <c r="M54" s="2">
        <v>0.17199999999999999</v>
      </c>
      <c r="N54" s="2">
        <v>0.154</v>
      </c>
      <c r="O54" s="2">
        <v>0</v>
      </c>
      <c r="P54" s="15" t="s">
        <v>12</v>
      </c>
      <c r="Q54" s="14"/>
      <c r="R54" s="2" t="s">
        <v>43</v>
      </c>
      <c r="S54" s="2">
        <v>405</v>
      </c>
      <c r="T54" s="3">
        <v>0.626</v>
      </c>
      <c r="U54" s="2">
        <v>1.89E-2</v>
      </c>
      <c r="V54" s="2">
        <v>0</v>
      </c>
      <c r="W54" s="15" t="s">
        <v>9</v>
      </c>
      <c r="X54" s="14"/>
      <c r="Y54" s="2" t="s">
        <v>43</v>
      </c>
      <c r="Z54" s="3">
        <v>338</v>
      </c>
      <c r="AA54" s="3">
        <v>3.59</v>
      </c>
      <c r="AB54" s="2">
        <v>7.9600000000000004E-2</v>
      </c>
      <c r="AC54" s="2">
        <v>0</v>
      </c>
      <c r="AD54" s="15" t="s">
        <v>11</v>
      </c>
      <c r="AE54" s="14"/>
      <c r="AF54" s="2" t="s">
        <v>43</v>
      </c>
      <c r="AG54" s="3">
        <v>331</v>
      </c>
      <c r="AH54" s="3">
        <v>6.5600000000000006E-2</v>
      </c>
      <c r="AI54" s="2">
        <v>2.0799999999999999E-2</v>
      </c>
      <c r="AJ54" s="2">
        <v>0</v>
      </c>
    </row>
    <row r="55" spans="1:36" ht="13.95" customHeight="1" x14ac:dyDescent="0.25">
      <c r="A55" s="15" t="s">
        <v>9</v>
      </c>
      <c r="B55" s="16" t="s">
        <v>145</v>
      </c>
      <c r="C55" s="2" t="s">
        <v>16</v>
      </c>
      <c r="D55" s="14"/>
      <c r="E55" s="3">
        <v>205</v>
      </c>
      <c r="F55" s="3">
        <v>2.02</v>
      </c>
      <c r="G55" s="6">
        <v>4.3700000000000003E-2</v>
      </c>
      <c r="H55" s="2">
        <v>0</v>
      </c>
      <c r="I55" s="16" t="s">
        <v>52</v>
      </c>
      <c r="J55" s="14"/>
      <c r="K55" s="2" t="s">
        <v>44</v>
      </c>
      <c r="L55" s="2">
        <v>346</v>
      </c>
      <c r="M55" s="2">
        <v>0.20699999999999999</v>
      </c>
      <c r="N55" s="2">
        <v>0.184</v>
      </c>
      <c r="O55" s="2">
        <v>0</v>
      </c>
      <c r="P55" s="15" t="s">
        <v>12</v>
      </c>
      <c r="Q55" s="14"/>
      <c r="R55" s="2" t="s">
        <v>44</v>
      </c>
      <c r="S55" s="2">
        <v>485</v>
      </c>
      <c r="T55" s="3">
        <v>0.751</v>
      </c>
      <c r="U55" s="2">
        <v>2.2700000000000001E-2</v>
      </c>
      <c r="V55" s="2">
        <v>0</v>
      </c>
      <c r="W55" s="15" t="s">
        <v>9</v>
      </c>
      <c r="X55" s="14"/>
      <c r="Y55" s="2" t="s">
        <v>44</v>
      </c>
      <c r="Z55" s="3">
        <v>405</v>
      </c>
      <c r="AA55" s="3">
        <v>4.3099999999999996</v>
      </c>
      <c r="AB55" s="2">
        <v>9.5600000000000004E-2</v>
      </c>
      <c r="AC55" s="2">
        <v>0</v>
      </c>
      <c r="AD55" s="15" t="s">
        <v>11</v>
      </c>
      <c r="AE55" s="14"/>
      <c r="AF55" s="2" t="s">
        <v>44</v>
      </c>
      <c r="AG55" s="3">
        <v>397</v>
      </c>
      <c r="AH55" s="3">
        <v>7.8700000000000006E-2</v>
      </c>
      <c r="AI55" s="2">
        <v>2.5000000000000001E-2</v>
      </c>
      <c r="AJ55" s="2">
        <v>0</v>
      </c>
    </row>
    <row r="56" spans="1:36" ht="13.95" customHeight="1" x14ac:dyDescent="0.25">
      <c r="A56" s="15" t="s">
        <v>9</v>
      </c>
      <c r="B56" s="16" t="s">
        <v>146</v>
      </c>
      <c r="C56" s="2" t="s">
        <v>17</v>
      </c>
      <c r="D56" s="14"/>
      <c r="E56" s="3">
        <v>205</v>
      </c>
      <c r="F56" s="3">
        <v>2.0299999999999998</v>
      </c>
      <c r="G56" s="6">
        <v>4.41E-2</v>
      </c>
      <c r="H56" s="2">
        <v>0</v>
      </c>
      <c r="I56" s="16" t="s">
        <v>52</v>
      </c>
      <c r="J56" s="14" t="s">
        <v>27</v>
      </c>
      <c r="K56" s="2" t="s">
        <v>45</v>
      </c>
      <c r="L56" s="3">
        <v>57.6</v>
      </c>
      <c r="M56" s="3">
        <v>3.4299999999999997E-2</v>
      </c>
      <c r="N56" s="2">
        <v>3.1199999999999999E-2</v>
      </c>
      <c r="O56" s="2">
        <v>0</v>
      </c>
      <c r="P56" s="15" t="s">
        <v>12</v>
      </c>
      <c r="Q56" s="14" t="s">
        <v>27</v>
      </c>
      <c r="R56" s="2" t="s">
        <v>45</v>
      </c>
      <c r="S56" s="3">
        <v>81.400000000000006</v>
      </c>
      <c r="T56" s="3">
        <v>0.126</v>
      </c>
      <c r="U56" s="6" t="s">
        <v>47</v>
      </c>
      <c r="V56" s="2">
        <v>0</v>
      </c>
      <c r="W56" s="15" t="s">
        <v>9</v>
      </c>
      <c r="X56" s="14" t="s">
        <v>27</v>
      </c>
      <c r="Y56" s="2" t="s">
        <v>45</v>
      </c>
      <c r="Z56" s="3">
        <v>67.3</v>
      </c>
      <c r="AA56" s="3">
        <v>0.72899999999999998</v>
      </c>
      <c r="AB56" s="2">
        <v>1.6299999999999999E-2</v>
      </c>
      <c r="AC56" s="2">
        <v>0</v>
      </c>
      <c r="AD56" s="15" t="s">
        <v>11</v>
      </c>
      <c r="AE56" s="14" t="s">
        <v>27</v>
      </c>
      <c r="AF56" s="2" t="s">
        <v>45</v>
      </c>
      <c r="AG56" s="3">
        <v>66.8</v>
      </c>
      <c r="AH56" s="3">
        <v>1.34E-2</v>
      </c>
      <c r="AI56" s="6" t="s">
        <v>46</v>
      </c>
      <c r="AJ56" s="2">
        <v>0</v>
      </c>
    </row>
    <row r="57" spans="1:36" ht="13.95" customHeight="1" x14ac:dyDescent="0.25">
      <c r="A57" s="15" t="s">
        <v>9</v>
      </c>
      <c r="B57" s="16" t="s">
        <v>147</v>
      </c>
      <c r="C57" s="2" t="s">
        <v>18</v>
      </c>
      <c r="D57" s="14"/>
      <c r="E57" s="3">
        <v>204</v>
      </c>
      <c r="F57" s="3">
        <v>2.0499999999999998</v>
      </c>
      <c r="G57" s="6">
        <v>4.4499999999999998E-2</v>
      </c>
      <c r="H57" s="2">
        <v>0</v>
      </c>
      <c r="I57" s="16" t="s">
        <v>52</v>
      </c>
      <c r="J57" s="14"/>
      <c r="K57" s="2" t="s">
        <v>38</v>
      </c>
      <c r="L57" s="3">
        <v>115</v>
      </c>
      <c r="M57" s="3">
        <v>6.8599999999999994E-2</v>
      </c>
      <c r="N57" s="2">
        <v>6.25E-2</v>
      </c>
      <c r="O57" s="2">
        <v>0</v>
      </c>
      <c r="P57" s="15" t="s">
        <v>12</v>
      </c>
      <c r="Q57" s="14"/>
      <c r="R57" s="2" t="s">
        <v>38</v>
      </c>
      <c r="S57" s="3">
        <v>163</v>
      </c>
      <c r="T57" s="3">
        <v>0.251</v>
      </c>
      <c r="U57" s="6" t="s">
        <v>48</v>
      </c>
      <c r="V57" s="2">
        <v>0</v>
      </c>
      <c r="W57" s="15" t="s">
        <v>9</v>
      </c>
      <c r="X57" s="14"/>
      <c r="Y57" s="2" t="s">
        <v>38</v>
      </c>
      <c r="Z57" s="3">
        <v>135</v>
      </c>
      <c r="AA57" s="3">
        <v>1.46</v>
      </c>
      <c r="AB57" s="2">
        <v>3.2500000000000001E-2</v>
      </c>
      <c r="AC57" s="2">
        <v>0</v>
      </c>
      <c r="AD57" s="15" t="s">
        <v>11</v>
      </c>
      <c r="AE57" s="14"/>
      <c r="AF57" s="2" t="s">
        <v>38</v>
      </c>
      <c r="AG57" s="3">
        <v>134</v>
      </c>
      <c r="AH57" s="3">
        <v>2.6800000000000001E-2</v>
      </c>
      <c r="AI57" s="6" t="s">
        <v>49</v>
      </c>
      <c r="AJ57" s="2">
        <v>0</v>
      </c>
    </row>
    <row r="58" spans="1:36" ht="13.95" customHeight="1" x14ac:dyDescent="0.25">
      <c r="A58" s="15" t="s">
        <v>9</v>
      </c>
      <c r="B58" s="16" t="s">
        <v>148</v>
      </c>
      <c r="C58" s="2" t="s">
        <v>19</v>
      </c>
      <c r="D58" s="14"/>
      <c r="E58" s="3">
        <v>204</v>
      </c>
      <c r="F58" s="3">
        <v>2.06</v>
      </c>
      <c r="G58" s="6">
        <v>4.4999999999999998E-2</v>
      </c>
      <c r="H58" s="2">
        <v>0</v>
      </c>
      <c r="I58" s="16" t="s">
        <v>52</v>
      </c>
      <c r="J58" s="14"/>
      <c r="K58" s="2" t="s">
        <v>41</v>
      </c>
      <c r="L58" s="3">
        <v>173</v>
      </c>
      <c r="M58" s="3">
        <v>0.10299999999999999</v>
      </c>
      <c r="N58" s="2">
        <v>9.3700000000000006E-2</v>
      </c>
      <c r="O58" s="2">
        <v>0</v>
      </c>
      <c r="P58" s="15" t="s">
        <v>12</v>
      </c>
      <c r="Q58" s="14"/>
      <c r="R58" s="2" t="s">
        <v>41</v>
      </c>
      <c r="S58" s="3">
        <v>244</v>
      </c>
      <c r="T58" s="3">
        <v>0.377</v>
      </c>
      <c r="U58" s="6">
        <v>1.15E-2</v>
      </c>
      <c r="V58" s="2">
        <v>0</v>
      </c>
      <c r="W58" s="15" t="s">
        <v>9</v>
      </c>
      <c r="X58" s="14"/>
      <c r="Y58" s="2" t="s">
        <v>41</v>
      </c>
      <c r="Z58" s="3">
        <v>202</v>
      </c>
      <c r="AA58" s="3">
        <v>2.19</v>
      </c>
      <c r="AB58" s="6">
        <v>4.8800000000000003E-2</v>
      </c>
      <c r="AC58" s="2">
        <v>0</v>
      </c>
      <c r="AD58" s="15" t="s">
        <v>11</v>
      </c>
      <c r="AE58" s="14"/>
      <c r="AF58" s="2" t="s">
        <v>41</v>
      </c>
      <c r="AG58" s="3">
        <v>200</v>
      </c>
      <c r="AH58" s="3">
        <v>4.0300000000000002E-2</v>
      </c>
      <c r="AI58" s="6">
        <v>1.2699999999999999E-2</v>
      </c>
      <c r="AJ58" s="2">
        <v>0</v>
      </c>
    </row>
    <row r="59" spans="1:36" ht="13.95" customHeight="1" x14ac:dyDescent="0.25">
      <c r="A59" s="15" t="s">
        <v>9</v>
      </c>
      <c r="B59" s="16" t="s">
        <v>149</v>
      </c>
      <c r="C59" s="2" t="s">
        <v>20</v>
      </c>
      <c r="D59" s="14"/>
      <c r="E59" s="3">
        <v>204</v>
      </c>
      <c r="F59" s="3">
        <v>2.08</v>
      </c>
      <c r="G59" s="6">
        <v>4.5400000000000003E-2</v>
      </c>
      <c r="H59" s="2">
        <v>0</v>
      </c>
      <c r="I59" s="16" t="s">
        <v>52</v>
      </c>
      <c r="J59" s="14"/>
      <c r="K59" s="2" t="s">
        <v>42</v>
      </c>
      <c r="L59" s="5">
        <v>231</v>
      </c>
      <c r="M59" s="5">
        <v>0.13700000000000001</v>
      </c>
      <c r="N59" s="4">
        <v>0.125</v>
      </c>
      <c r="O59" s="2">
        <v>0</v>
      </c>
      <c r="P59" s="15" t="s">
        <v>12</v>
      </c>
      <c r="Q59" s="14"/>
      <c r="R59" s="2" t="s">
        <v>42</v>
      </c>
      <c r="S59" s="5">
        <v>326</v>
      </c>
      <c r="T59" s="5">
        <v>0.502</v>
      </c>
      <c r="U59" s="4">
        <v>1.54E-2</v>
      </c>
      <c r="V59" s="2">
        <v>0</v>
      </c>
      <c r="W59" s="15" t="s">
        <v>9</v>
      </c>
      <c r="X59" s="14"/>
      <c r="Y59" s="2" t="s">
        <v>42</v>
      </c>
      <c r="Z59" s="5">
        <v>269</v>
      </c>
      <c r="AA59" s="5">
        <v>2.92</v>
      </c>
      <c r="AB59" s="4">
        <v>6.5100000000000005E-2</v>
      </c>
      <c r="AC59" s="2">
        <v>0</v>
      </c>
      <c r="AD59" s="15" t="s">
        <v>11</v>
      </c>
      <c r="AE59" s="14"/>
      <c r="AF59" s="2" t="s">
        <v>42</v>
      </c>
      <c r="AG59" s="5">
        <v>267</v>
      </c>
      <c r="AH59" s="5">
        <v>5.3699999999999998E-2</v>
      </c>
      <c r="AI59" s="4">
        <v>1.7000000000000001E-2</v>
      </c>
      <c r="AJ59" s="2">
        <v>0</v>
      </c>
    </row>
    <row r="60" spans="1:36" ht="13.95" customHeight="1" x14ac:dyDescent="0.25">
      <c r="A60" s="15" t="s">
        <v>9</v>
      </c>
      <c r="B60" s="16" t="s">
        <v>150</v>
      </c>
      <c r="C60" s="2" t="s">
        <v>21</v>
      </c>
      <c r="D60" s="14"/>
      <c r="E60" s="3">
        <v>204</v>
      </c>
      <c r="F60" s="3">
        <v>2.09</v>
      </c>
      <c r="G60" s="6">
        <v>4.5900000000000003E-2</v>
      </c>
      <c r="H60" s="2">
        <v>0</v>
      </c>
      <c r="I60" s="16" t="s">
        <v>52</v>
      </c>
      <c r="J60" s="14"/>
      <c r="K60" s="2" t="s">
        <v>43</v>
      </c>
      <c r="L60" s="3">
        <v>288</v>
      </c>
      <c r="M60" s="3">
        <v>0.17199999999999999</v>
      </c>
      <c r="N60" s="2">
        <v>0.156</v>
      </c>
      <c r="O60" s="2">
        <v>0</v>
      </c>
      <c r="P60" s="15" t="s">
        <v>12</v>
      </c>
      <c r="Q60" s="14"/>
      <c r="R60" s="2" t="s">
        <v>43</v>
      </c>
      <c r="S60" s="3">
        <v>407</v>
      </c>
      <c r="T60" s="3">
        <v>0.628</v>
      </c>
      <c r="U60" s="2">
        <v>1.9199999999999998E-2</v>
      </c>
      <c r="V60" s="2">
        <v>0</v>
      </c>
      <c r="W60" s="15" t="s">
        <v>9</v>
      </c>
      <c r="X60" s="14"/>
      <c r="Y60" s="2" t="s">
        <v>43</v>
      </c>
      <c r="Z60" s="3">
        <v>337</v>
      </c>
      <c r="AA60" s="3">
        <v>3.65</v>
      </c>
      <c r="AB60" s="2">
        <v>8.1299999999999997E-2</v>
      </c>
      <c r="AC60" s="2">
        <v>0</v>
      </c>
      <c r="AD60" s="15" t="s">
        <v>11</v>
      </c>
      <c r="AE60" s="14"/>
      <c r="AF60" s="2" t="s">
        <v>43</v>
      </c>
      <c r="AG60" s="3">
        <v>334</v>
      </c>
      <c r="AH60" s="3">
        <v>6.7100000000000007E-2</v>
      </c>
      <c r="AI60" s="2">
        <v>2.12E-2</v>
      </c>
      <c r="AJ60" s="2">
        <v>0</v>
      </c>
    </row>
    <row r="61" spans="1:36" ht="13.95" customHeight="1" x14ac:dyDescent="0.25">
      <c r="A61" s="15" t="s">
        <v>9</v>
      </c>
      <c r="B61" s="16" t="s">
        <v>151</v>
      </c>
      <c r="C61" s="2" t="s">
        <v>22</v>
      </c>
      <c r="D61" s="14"/>
      <c r="E61" s="3">
        <v>203</v>
      </c>
      <c r="F61" s="3">
        <v>2.11</v>
      </c>
      <c r="G61" s="6">
        <v>4.6300000000000001E-2</v>
      </c>
      <c r="H61" s="2">
        <v>0</v>
      </c>
      <c r="I61" s="16" t="s">
        <v>52</v>
      </c>
      <c r="J61" s="14"/>
      <c r="K61" s="2" t="s">
        <v>44</v>
      </c>
      <c r="L61" s="3">
        <v>346</v>
      </c>
      <c r="M61" s="3">
        <v>0.20599999999999999</v>
      </c>
      <c r="N61" s="2">
        <v>0.187</v>
      </c>
      <c r="O61" s="2">
        <v>0</v>
      </c>
      <c r="P61" s="15" t="s">
        <v>12</v>
      </c>
      <c r="Q61" s="14"/>
      <c r="R61" s="2" t="s">
        <v>44</v>
      </c>
      <c r="S61" s="3">
        <v>489</v>
      </c>
      <c r="T61" s="3">
        <v>0.753</v>
      </c>
      <c r="U61" s="2">
        <v>2.3099999999999999E-2</v>
      </c>
      <c r="V61" s="2">
        <v>0</v>
      </c>
      <c r="W61" s="15" t="s">
        <v>9</v>
      </c>
      <c r="X61" s="14"/>
      <c r="Y61" s="2" t="s">
        <v>44</v>
      </c>
      <c r="Z61" s="3">
        <v>404</v>
      </c>
      <c r="AA61" s="3">
        <v>4.38</v>
      </c>
      <c r="AB61" s="2">
        <v>9.7600000000000006E-2</v>
      </c>
      <c r="AC61" s="2">
        <v>0</v>
      </c>
      <c r="AD61" s="15" t="s">
        <v>11</v>
      </c>
      <c r="AE61" s="14"/>
      <c r="AF61" s="2" t="s">
        <v>44</v>
      </c>
      <c r="AG61" s="3">
        <v>401</v>
      </c>
      <c r="AH61" s="3">
        <v>8.0500000000000002E-2</v>
      </c>
      <c r="AI61" s="2">
        <v>2.5499999999999998E-2</v>
      </c>
      <c r="AJ61" s="2">
        <v>0</v>
      </c>
    </row>
    <row r="62" spans="1:36" ht="13.95" customHeight="1" x14ac:dyDescent="0.25">
      <c r="A62" s="15" t="s">
        <v>9</v>
      </c>
      <c r="B62" s="16" t="s">
        <v>152</v>
      </c>
      <c r="C62" s="2" t="s">
        <v>23</v>
      </c>
      <c r="D62" s="14"/>
      <c r="E62" s="3">
        <v>203</v>
      </c>
      <c r="F62" s="3">
        <v>2.12</v>
      </c>
      <c r="G62" s="6">
        <v>4.6800000000000001E-2</v>
      </c>
      <c r="H62" s="2">
        <v>0</v>
      </c>
      <c r="I62" s="16" t="s">
        <v>52</v>
      </c>
      <c r="J62" s="14" t="s">
        <v>61</v>
      </c>
      <c r="K62" s="2" t="s">
        <v>45</v>
      </c>
      <c r="L62" s="3">
        <v>57.6</v>
      </c>
      <c r="M62" s="3">
        <v>3.4200000000000001E-2</v>
      </c>
      <c r="N62" s="2">
        <v>3.1800000000000002E-2</v>
      </c>
      <c r="O62" s="2">
        <v>0</v>
      </c>
      <c r="P62" s="15" t="s">
        <v>12</v>
      </c>
      <c r="Q62" s="14" t="s">
        <v>61</v>
      </c>
      <c r="R62" s="2" t="s">
        <v>45</v>
      </c>
      <c r="S62" s="3">
        <v>81.900000000000006</v>
      </c>
      <c r="T62" s="3">
        <v>0.126</v>
      </c>
      <c r="U62" s="6" t="s">
        <v>98</v>
      </c>
      <c r="V62" s="2">
        <v>0</v>
      </c>
      <c r="W62" s="15" t="s">
        <v>9</v>
      </c>
      <c r="X62" s="14" t="s">
        <v>61</v>
      </c>
      <c r="Y62" s="2" t="s">
        <v>45</v>
      </c>
      <c r="Z62" s="3">
        <v>67.099999999999994</v>
      </c>
      <c r="AA62" s="3">
        <v>0.74</v>
      </c>
      <c r="AB62" s="2">
        <v>1.66E-2</v>
      </c>
      <c r="AC62" s="2">
        <v>0</v>
      </c>
      <c r="AD62" s="15" t="s">
        <v>11</v>
      </c>
      <c r="AE62" s="14" t="s">
        <v>61</v>
      </c>
      <c r="AF62" s="2" t="s">
        <v>45</v>
      </c>
      <c r="AG62" s="3">
        <v>67.400000000000006</v>
      </c>
      <c r="AH62" s="3">
        <v>1.38E-2</v>
      </c>
      <c r="AI62" s="6" t="s">
        <v>99</v>
      </c>
      <c r="AJ62" s="2">
        <v>0</v>
      </c>
    </row>
    <row r="63" spans="1:36" ht="13.95" customHeight="1" x14ac:dyDescent="0.25">
      <c r="A63" s="15" t="s">
        <v>9</v>
      </c>
      <c r="B63" s="16" t="s">
        <v>153</v>
      </c>
      <c r="C63" s="2" t="s">
        <v>24</v>
      </c>
      <c r="D63" s="14"/>
      <c r="E63" s="3">
        <v>203</v>
      </c>
      <c r="F63" s="3">
        <v>2.14</v>
      </c>
      <c r="G63" s="6">
        <v>4.7300000000000002E-2</v>
      </c>
      <c r="H63" s="2">
        <v>0</v>
      </c>
      <c r="I63" s="16" t="s">
        <v>52</v>
      </c>
      <c r="J63" s="14"/>
      <c r="K63" s="2" t="s">
        <v>38</v>
      </c>
      <c r="L63" s="3">
        <v>115</v>
      </c>
      <c r="M63" s="3">
        <v>6.8400000000000002E-2</v>
      </c>
      <c r="N63" s="2">
        <v>6.3600000000000004E-2</v>
      </c>
      <c r="O63" s="2">
        <v>0</v>
      </c>
      <c r="P63" s="15" t="s">
        <v>12</v>
      </c>
      <c r="Q63" s="14"/>
      <c r="R63" s="2" t="s">
        <v>38</v>
      </c>
      <c r="S63" s="3">
        <v>164</v>
      </c>
      <c r="T63" s="3">
        <v>0.252</v>
      </c>
      <c r="U63" s="6" t="s">
        <v>100</v>
      </c>
      <c r="V63" s="2">
        <v>0</v>
      </c>
      <c r="W63" s="15" t="s">
        <v>9</v>
      </c>
      <c r="X63" s="14"/>
      <c r="Y63" s="2" t="s">
        <v>38</v>
      </c>
      <c r="Z63" s="3">
        <v>134</v>
      </c>
      <c r="AA63" s="3">
        <v>1.48</v>
      </c>
      <c r="AB63" s="2">
        <v>3.32E-2</v>
      </c>
      <c r="AC63" s="2">
        <v>0</v>
      </c>
      <c r="AD63" s="15" t="s">
        <v>11</v>
      </c>
      <c r="AE63" s="14"/>
      <c r="AF63" s="2" t="s">
        <v>38</v>
      </c>
      <c r="AG63" s="3">
        <v>135</v>
      </c>
      <c r="AH63" s="3">
        <v>2.76E-2</v>
      </c>
      <c r="AI63" s="6" t="s">
        <v>101</v>
      </c>
      <c r="AJ63" s="2">
        <v>0</v>
      </c>
    </row>
    <row r="64" spans="1:36" ht="13.95" customHeight="1" x14ac:dyDescent="0.25">
      <c r="A64" s="15" t="s">
        <v>9</v>
      </c>
      <c r="B64" s="16" t="s">
        <v>154</v>
      </c>
      <c r="C64" s="2" t="s">
        <v>25</v>
      </c>
      <c r="D64" s="14"/>
      <c r="E64" s="3">
        <v>203</v>
      </c>
      <c r="F64" s="3">
        <v>2.15</v>
      </c>
      <c r="G64" s="6">
        <v>4.7800000000000002E-2</v>
      </c>
      <c r="H64" s="2">
        <v>0</v>
      </c>
      <c r="I64" s="16" t="s">
        <v>52</v>
      </c>
      <c r="J64" s="14"/>
      <c r="K64" s="2" t="s">
        <v>41</v>
      </c>
      <c r="L64" s="2">
        <f>VLOOKUP(J62,$C$2:$H$26,3,FALSE)</f>
        <v>173</v>
      </c>
      <c r="M64" s="2">
        <f>VLOOKUP(J62,$C$2:$H$26,4,FALSE)</f>
        <v>0.10299999999999999</v>
      </c>
      <c r="N64" s="2">
        <f>VLOOKUP(J62,$C$2:$H$26,5,FALSE)</f>
        <v>9.5500000000000002E-2</v>
      </c>
      <c r="O64" s="2">
        <v>0</v>
      </c>
      <c r="P64" s="15" t="s">
        <v>12</v>
      </c>
      <c r="Q64" s="14"/>
      <c r="R64" s="2" t="s">
        <v>41</v>
      </c>
      <c r="S64" s="2">
        <f>VLOOKUP(Q62,$C$27:$H$51,3,FALSE)</f>
        <v>246</v>
      </c>
      <c r="T64" s="3">
        <f>VLOOKUP(Q62,$C$27:$H$51,4,FALSE)</f>
        <v>0.378</v>
      </c>
      <c r="U64" s="2">
        <f>VLOOKUP(Q62,$C$27:$H$51,5,FALSE)</f>
        <v>1.18E-2</v>
      </c>
      <c r="V64" s="2">
        <v>0</v>
      </c>
      <c r="W64" s="15" t="s">
        <v>9</v>
      </c>
      <c r="X64" s="14"/>
      <c r="Y64" s="2" t="s">
        <v>41</v>
      </c>
      <c r="Z64" s="3">
        <f>VLOOKUP(X62,$C$52:$H$76,3,FALSE)</f>
        <v>201</v>
      </c>
      <c r="AA64" s="3">
        <f>VLOOKUP(X62,$C$52:$H$76,4,FALSE)</f>
        <v>2.2200000000000002</v>
      </c>
      <c r="AB64" s="2">
        <f>VLOOKUP(X62,$C$52:$H$76,5,FALSE)</f>
        <v>4.9799999999999997E-2</v>
      </c>
      <c r="AC64" s="2">
        <v>0</v>
      </c>
      <c r="AD64" s="15" t="s">
        <v>11</v>
      </c>
      <c r="AE64" s="14"/>
      <c r="AF64" s="2" t="s">
        <v>41</v>
      </c>
      <c r="AG64" s="3">
        <f>VLOOKUP(AE62,$C$77:$H$101,3,FALSE)</f>
        <v>202</v>
      </c>
      <c r="AH64" s="3">
        <f>VLOOKUP(AE62,$C$77:$H$101,4,FALSE)</f>
        <v>4.1300000000000003E-2</v>
      </c>
      <c r="AI64" s="2">
        <f>VLOOKUP(AE62,$C$77:$H$101,5,FALSE)</f>
        <v>1.2999999999999999E-2</v>
      </c>
      <c r="AJ64" s="2">
        <v>0</v>
      </c>
    </row>
    <row r="65" spans="1:36" ht="13.95" customHeight="1" x14ac:dyDescent="0.25">
      <c r="A65" s="15" t="s">
        <v>9</v>
      </c>
      <c r="B65" s="16" t="s">
        <v>155</v>
      </c>
      <c r="C65" s="2" t="s">
        <v>26</v>
      </c>
      <c r="D65" s="14"/>
      <c r="E65" s="3">
        <v>202</v>
      </c>
      <c r="F65" s="3">
        <v>2.17</v>
      </c>
      <c r="G65" s="6">
        <v>4.8300000000000003E-2</v>
      </c>
      <c r="H65" s="2">
        <v>0</v>
      </c>
      <c r="I65" s="16" t="s">
        <v>52</v>
      </c>
      <c r="J65" s="14"/>
      <c r="K65" s="2" t="s">
        <v>42</v>
      </c>
      <c r="L65" s="5">
        <v>230</v>
      </c>
      <c r="M65" s="5">
        <v>0.13700000000000001</v>
      </c>
      <c r="N65" s="2">
        <v>0.127</v>
      </c>
      <c r="O65" s="2">
        <v>0</v>
      </c>
      <c r="P65" s="15" t="s">
        <v>12</v>
      </c>
      <c r="Q65" s="14"/>
      <c r="R65" s="2" t="s">
        <v>42</v>
      </c>
      <c r="S65" s="5">
        <v>328</v>
      </c>
      <c r="T65" s="5">
        <v>0.504</v>
      </c>
      <c r="U65" s="2">
        <v>1.5699999999999999E-2</v>
      </c>
      <c r="V65" s="2">
        <v>0</v>
      </c>
      <c r="W65" s="15" t="s">
        <v>9</v>
      </c>
      <c r="X65" s="14"/>
      <c r="Y65" s="2" t="s">
        <v>42</v>
      </c>
      <c r="Z65" s="3">
        <v>269</v>
      </c>
      <c r="AA65" s="3">
        <v>2.96</v>
      </c>
      <c r="AB65" s="2">
        <v>6.6500000000000004E-2</v>
      </c>
      <c r="AC65" s="2">
        <v>0</v>
      </c>
      <c r="AD65" s="15" t="s">
        <v>11</v>
      </c>
      <c r="AE65" s="14"/>
      <c r="AF65" s="2" t="s">
        <v>42</v>
      </c>
      <c r="AG65" s="3">
        <v>270</v>
      </c>
      <c r="AH65" s="3">
        <v>5.5100000000000003E-2</v>
      </c>
      <c r="AI65" s="4">
        <v>1.7299999999999999E-2</v>
      </c>
      <c r="AJ65" s="2">
        <v>0</v>
      </c>
    </row>
    <row r="66" spans="1:36" ht="13.95" customHeight="1" x14ac:dyDescent="0.25">
      <c r="A66" s="15" t="s">
        <v>9</v>
      </c>
      <c r="B66" s="16" t="s">
        <v>156</v>
      </c>
      <c r="C66" s="2" t="s">
        <v>27</v>
      </c>
      <c r="D66" s="14"/>
      <c r="E66" s="3">
        <v>202</v>
      </c>
      <c r="F66" s="3">
        <v>2.19</v>
      </c>
      <c r="G66" s="6">
        <v>4.8800000000000003E-2</v>
      </c>
      <c r="H66" s="2">
        <v>0</v>
      </c>
      <c r="I66" s="16" t="s">
        <v>52</v>
      </c>
      <c r="J66" s="14"/>
      <c r="K66" s="2" t="s">
        <v>43</v>
      </c>
      <c r="L66" s="3">
        <v>288</v>
      </c>
      <c r="M66" s="3">
        <v>0.17100000000000001</v>
      </c>
      <c r="N66" s="2">
        <v>0.159</v>
      </c>
      <c r="O66" s="2">
        <v>0</v>
      </c>
      <c r="P66" s="15" t="s">
        <v>12</v>
      </c>
      <c r="Q66" s="14"/>
      <c r="R66" s="2" t="s">
        <v>43</v>
      </c>
      <c r="S66" s="3">
        <v>410</v>
      </c>
      <c r="T66" s="3">
        <v>0.629</v>
      </c>
      <c r="U66" s="2">
        <v>1.9599999999999999E-2</v>
      </c>
      <c r="V66" s="2">
        <v>0</v>
      </c>
      <c r="W66" s="15" t="s">
        <v>9</v>
      </c>
      <c r="X66" s="14"/>
      <c r="Y66" s="2" t="s">
        <v>43</v>
      </c>
      <c r="Z66" s="3">
        <v>336</v>
      </c>
      <c r="AA66" s="3">
        <v>3.7</v>
      </c>
      <c r="AB66" s="2">
        <v>8.3099999999999993E-2</v>
      </c>
      <c r="AC66" s="2">
        <v>0</v>
      </c>
      <c r="AD66" s="15" t="s">
        <v>11</v>
      </c>
      <c r="AE66" s="14"/>
      <c r="AF66" s="2" t="s">
        <v>43</v>
      </c>
      <c r="AG66" s="3">
        <v>337</v>
      </c>
      <c r="AH66" s="3">
        <v>6.8900000000000003E-2</v>
      </c>
      <c r="AI66" s="2">
        <v>2.1600000000000001E-2</v>
      </c>
      <c r="AJ66" s="2">
        <v>0</v>
      </c>
    </row>
    <row r="67" spans="1:36" ht="13.95" customHeight="1" x14ac:dyDescent="0.25">
      <c r="A67" s="15" t="s">
        <v>9</v>
      </c>
      <c r="B67" s="16" t="s">
        <v>157</v>
      </c>
      <c r="C67" s="2" t="s">
        <v>28</v>
      </c>
      <c r="D67" s="14"/>
      <c r="E67" s="3">
        <v>202</v>
      </c>
      <c r="F67" s="3">
        <v>2.2000000000000002</v>
      </c>
      <c r="G67" s="6">
        <v>4.9299999999999997E-2</v>
      </c>
      <c r="H67" s="2">
        <v>0</v>
      </c>
      <c r="I67" s="16" t="s">
        <v>52</v>
      </c>
      <c r="J67" s="14"/>
      <c r="K67" s="2" t="s">
        <v>44</v>
      </c>
      <c r="L67" s="3">
        <v>345</v>
      </c>
      <c r="M67" s="3">
        <v>0.20499999999999999</v>
      </c>
      <c r="N67" s="2">
        <v>0.191</v>
      </c>
      <c r="O67" s="2">
        <v>0</v>
      </c>
      <c r="P67" s="15" t="s">
        <v>12</v>
      </c>
      <c r="Q67" s="14"/>
      <c r="R67" s="2" t="s">
        <v>44</v>
      </c>
      <c r="S67" s="3">
        <v>492</v>
      </c>
      <c r="T67" s="3">
        <v>0.755</v>
      </c>
      <c r="U67" s="2">
        <v>2.35E-2</v>
      </c>
      <c r="V67" s="2">
        <v>0</v>
      </c>
      <c r="W67" s="15" t="s">
        <v>9</v>
      </c>
      <c r="X67" s="14"/>
      <c r="Y67" s="2" t="s">
        <v>44</v>
      </c>
      <c r="Z67" s="3">
        <v>403</v>
      </c>
      <c r="AA67" s="3">
        <v>4.4400000000000004</v>
      </c>
      <c r="AB67" s="2">
        <v>9.9699999999999997E-2</v>
      </c>
      <c r="AC67" s="2">
        <v>0</v>
      </c>
      <c r="AD67" s="15" t="s">
        <v>11</v>
      </c>
      <c r="AE67" s="14"/>
      <c r="AF67" s="2" t="s">
        <v>44</v>
      </c>
      <c r="AG67" s="3">
        <v>404</v>
      </c>
      <c r="AH67" s="3">
        <v>8.2699999999999996E-2</v>
      </c>
      <c r="AI67" s="2">
        <v>2.5999999999999999E-2</v>
      </c>
      <c r="AJ67" s="2">
        <v>0</v>
      </c>
    </row>
    <row r="68" spans="1:36" ht="13.95" customHeight="1" x14ac:dyDescent="0.25">
      <c r="A68" s="15" t="s">
        <v>9</v>
      </c>
      <c r="B68" s="16" t="s">
        <v>158</v>
      </c>
      <c r="C68" s="2" t="s">
        <v>29</v>
      </c>
      <c r="D68" s="14"/>
      <c r="E68" s="3">
        <v>201</v>
      </c>
      <c r="F68" s="3">
        <v>2.2200000000000002</v>
      </c>
      <c r="G68" s="6">
        <v>4.9799999999999997E-2</v>
      </c>
      <c r="H68" s="2">
        <v>0</v>
      </c>
      <c r="I68" s="16" t="s">
        <v>52</v>
      </c>
      <c r="J68" s="14" t="s">
        <v>62</v>
      </c>
      <c r="K68" s="2" t="s">
        <v>45</v>
      </c>
      <c r="L68" s="3">
        <v>57.5</v>
      </c>
      <c r="M68" s="3">
        <v>3.4099999999999998E-2</v>
      </c>
      <c r="N68" s="2">
        <v>3.2500000000000001E-2</v>
      </c>
      <c r="O68" s="2">
        <v>0</v>
      </c>
      <c r="P68" s="15" t="s">
        <v>12</v>
      </c>
      <c r="Q68" s="14" t="s">
        <v>62</v>
      </c>
      <c r="R68" s="2" t="s">
        <v>45</v>
      </c>
      <c r="S68" s="3">
        <v>82.4</v>
      </c>
      <c r="T68" s="3">
        <v>0.126</v>
      </c>
      <c r="U68" s="6" t="s">
        <v>102</v>
      </c>
      <c r="V68" s="2">
        <v>0</v>
      </c>
      <c r="W68" s="15" t="s">
        <v>9</v>
      </c>
      <c r="X68" s="14" t="s">
        <v>62</v>
      </c>
      <c r="Y68" s="2" t="s">
        <v>45</v>
      </c>
      <c r="Z68" s="3">
        <v>67</v>
      </c>
      <c r="AA68" s="3">
        <v>0.752</v>
      </c>
      <c r="AB68" s="2">
        <v>1.7000000000000001E-2</v>
      </c>
      <c r="AC68" s="2">
        <v>0</v>
      </c>
      <c r="AD68" s="15" t="s">
        <v>11</v>
      </c>
      <c r="AE68" s="14" t="s">
        <v>62</v>
      </c>
      <c r="AF68" s="2" t="s">
        <v>45</v>
      </c>
      <c r="AG68" s="3">
        <v>68</v>
      </c>
      <c r="AH68" s="3">
        <v>1.4200000000000001E-2</v>
      </c>
      <c r="AI68" s="6" t="s">
        <v>103</v>
      </c>
      <c r="AJ68" s="2">
        <v>0</v>
      </c>
    </row>
    <row r="69" spans="1:36" ht="13.95" customHeight="1" x14ac:dyDescent="0.25">
      <c r="A69" s="15" t="s">
        <v>9</v>
      </c>
      <c r="B69" s="16" t="s">
        <v>159</v>
      </c>
      <c r="C69" s="2" t="s">
        <v>30</v>
      </c>
      <c r="D69" s="14"/>
      <c r="E69" s="3">
        <v>201</v>
      </c>
      <c r="F69" s="3">
        <v>2.2400000000000002</v>
      </c>
      <c r="G69" s="6">
        <v>5.04E-2</v>
      </c>
      <c r="H69" s="2">
        <v>0</v>
      </c>
      <c r="I69" s="16" t="s">
        <v>52</v>
      </c>
      <c r="J69" s="14"/>
      <c r="K69" s="2" t="s">
        <v>38</v>
      </c>
      <c r="L69" s="3">
        <v>115</v>
      </c>
      <c r="M69" s="3">
        <v>6.8199999999999997E-2</v>
      </c>
      <c r="N69" s="2">
        <v>6.4899999999999999E-2</v>
      </c>
      <c r="O69" s="2">
        <v>0</v>
      </c>
      <c r="P69" s="15" t="s">
        <v>12</v>
      </c>
      <c r="Q69" s="14"/>
      <c r="R69" s="2" t="s">
        <v>38</v>
      </c>
      <c r="S69" s="3">
        <v>165</v>
      </c>
      <c r="T69" s="3">
        <v>0.253</v>
      </c>
      <c r="U69" s="6" t="s">
        <v>104</v>
      </c>
      <c r="V69" s="2">
        <v>0</v>
      </c>
      <c r="W69" s="15" t="s">
        <v>9</v>
      </c>
      <c r="X69" s="14"/>
      <c r="Y69" s="2" t="s">
        <v>38</v>
      </c>
      <c r="Z69" s="3">
        <v>134</v>
      </c>
      <c r="AA69" s="3">
        <v>1.5</v>
      </c>
      <c r="AB69" s="2">
        <v>3.4000000000000002E-2</v>
      </c>
      <c r="AC69" s="2">
        <v>0</v>
      </c>
      <c r="AD69" s="15" t="s">
        <v>11</v>
      </c>
      <c r="AE69" s="14"/>
      <c r="AF69" s="2" t="s">
        <v>38</v>
      </c>
      <c r="AG69" s="3">
        <v>136</v>
      </c>
      <c r="AH69" s="3">
        <v>2.8400000000000002E-2</v>
      </c>
      <c r="AI69" s="6" t="s">
        <v>105</v>
      </c>
      <c r="AJ69" s="2">
        <v>0</v>
      </c>
    </row>
    <row r="70" spans="1:36" ht="13.95" customHeight="1" x14ac:dyDescent="0.25">
      <c r="A70" s="15" t="s">
        <v>9</v>
      </c>
      <c r="B70" s="16" t="s">
        <v>160</v>
      </c>
      <c r="C70" s="2" t="s">
        <v>31</v>
      </c>
      <c r="D70" s="14"/>
      <c r="E70" s="3">
        <v>201</v>
      </c>
      <c r="F70" s="3">
        <v>2.25</v>
      </c>
      <c r="G70" s="6">
        <v>5.0900000000000001E-2</v>
      </c>
      <c r="H70" s="2">
        <v>0</v>
      </c>
      <c r="I70" s="16" t="s">
        <v>52</v>
      </c>
      <c r="J70" s="14"/>
      <c r="K70" s="2" t="s">
        <v>41</v>
      </c>
      <c r="L70" s="2">
        <f>VLOOKUP(J68,$C$2:$H$26,3,FALSE)</f>
        <v>173</v>
      </c>
      <c r="M70" s="2">
        <f>VLOOKUP(J68,$C$2:$H$26,4,FALSE)</f>
        <v>0.10199999999999999</v>
      </c>
      <c r="N70" s="2">
        <f>VLOOKUP(J68,$C$2:$H$26,5,FALSE)</f>
        <v>9.74E-2</v>
      </c>
      <c r="O70" s="2">
        <v>0</v>
      </c>
      <c r="P70" s="15" t="s">
        <v>12</v>
      </c>
      <c r="Q70" s="14"/>
      <c r="R70" s="2" t="s">
        <v>41</v>
      </c>
      <c r="S70" s="2">
        <f>VLOOKUP(Q68,$C$27:$H$51,3,FALSE)</f>
        <v>247</v>
      </c>
      <c r="T70" s="3">
        <f>VLOOKUP(Q68,$C$27:$H$51,4,FALSE)</f>
        <v>0.379</v>
      </c>
      <c r="U70" s="2">
        <f>VLOOKUP(Q68,$C$27:$H$51,5,FALSE)</f>
        <v>1.2E-2</v>
      </c>
      <c r="V70" s="2">
        <v>0</v>
      </c>
      <c r="W70" s="15" t="s">
        <v>9</v>
      </c>
      <c r="X70" s="14"/>
      <c r="Y70" s="2" t="s">
        <v>41</v>
      </c>
      <c r="Z70" s="3">
        <f>VLOOKUP(X68,$C$52:$H$76,3,FALSE)</f>
        <v>201</v>
      </c>
      <c r="AA70" s="3">
        <f>VLOOKUP(X68,$C$52:$H$76,4,FALSE)</f>
        <v>2.25</v>
      </c>
      <c r="AB70" s="2">
        <f>VLOOKUP(X68,$C$52:$H$76,5,FALSE)</f>
        <v>5.0900000000000001E-2</v>
      </c>
      <c r="AC70" s="2">
        <v>0</v>
      </c>
      <c r="AD70" s="15" t="s">
        <v>11</v>
      </c>
      <c r="AE70" s="14"/>
      <c r="AF70" s="2" t="s">
        <v>41</v>
      </c>
      <c r="AG70" s="3">
        <f>VLOOKUP(AE68,$C$77:$H$101,3,FALSE)</f>
        <v>204</v>
      </c>
      <c r="AH70" s="3">
        <f>VLOOKUP(AE68,$C$77:$H$101,4,FALSE)</f>
        <v>4.2599999999999999E-2</v>
      </c>
      <c r="AI70" s="2">
        <f>VLOOKUP(AE68,$C$77:$H$101,5,FALSE)</f>
        <v>1.32E-2</v>
      </c>
      <c r="AJ70" s="2">
        <v>0</v>
      </c>
    </row>
    <row r="71" spans="1:36" ht="13.95" customHeight="1" x14ac:dyDescent="0.25">
      <c r="A71" s="15" t="s">
        <v>9</v>
      </c>
      <c r="B71" s="16" t="s">
        <v>161</v>
      </c>
      <c r="C71" s="2" t="s">
        <v>32</v>
      </c>
      <c r="D71" s="14"/>
      <c r="E71" s="3">
        <v>201</v>
      </c>
      <c r="F71" s="3">
        <v>2.27</v>
      </c>
      <c r="G71" s="6">
        <v>5.1499999999999997E-2</v>
      </c>
      <c r="H71" s="2">
        <v>0</v>
      </c>
      <c r="I71" s="16" t="s">
        <v>52</v>
      </c>
      <c r="J71" s="14"/>
      <c r="K71" s="2" t="s">
        <v>42</v>
      </c>
      <c r="L71" s="5">
        <v>230</v>
      </c>
      <c r="M71" s="5">
        <v>0.13600000000000001</v>
      </c>
      <c r="N71" s="2">
        <v>0.13</v>
      </c>
      <c r="O71" s="2">
        <v>0</v>
      </c>
      <c r="P71" s="15" t="s">
        <v>12</v>
      </c>
      <c r="Q71" s="14"/>
      <c r="R71" s="2" t="s">
        <v>42</v>
      </c>
      <c r="S71" s="5">
        <v>330</v>
      </c>
      <c r="T71" s="5">
        <v>0.505</v>
      </c>
      <c r="U71" s="2">
        <v>1.6E-2</v>
      </c>
      <c r="V71" s="2">
        <v>0</v>
      </c>
      <c r="W71" s="15" t="s">
        <v>9</v>
      </c>
      <c r="X71" s="14"/>
      <c r="Y71" s="2" t="s">
        <v>42</v>
      </c>
      <c r="Z71" s="3">
        <v>268</v>
      </c>
      <c r="AA71" s="3">
        <v>3.01</v>
      </c>
      <c r="AB71" s="2">
        <v>6.7900000000000002E-2</v>
      </c>
      <c r="AC71" s="2">
        <v>0</v>
      </c>
      <c r="AD71" s="15" t="s">
        <v>11</v>
      </c>
      <c r="AE71" s="14"/>
      <c r="AF71" s="2" t="s">
        <v>42</v>
      </c>
      <c r="AG71" s="3">
        <v>272</v>
      </c>
      <c r="AH71" s="3">
        <v>5.6800000000000003E-2</v>
      </c>
      <c r="AI71" s="4">
        <v>1.77E-2</v>
      </c>
      <c r="AJ71" s="2">
        <v>0</v>
      </c>
    </row>
    <row r="72" spans="1:36" ht="13.95" customHeight="1" x14ac:dyDescent="0.25">
      <c r="A72" s="15" t="s">
        <v>9</v>
      </c>
      <c r="B72" s="16" t="s">
        <v>162</v>
      </c>
      <c r="C72" s="2" t="s">
        <v>33</v>
      </c>
      <c r="D72" s="14"/>
      <c r="E72" s="3">
        <v>200</v>
      </c>
      <c r="F72" s="3">
        <v>2.29</v>
      </c>
      <c r="G72" s="6">
        <v>5.21E-2</v>
      </c>
      <c r="H72" s="2">
        <v>0</v>
      </c>
      <c r="I72" s="16" t="s">
        <v>52</v>
      </c>
      <c r="J72" s="14"/>
      <c r="K72" s="2" t="s">
        <v>43</v>
      </c>
      <c r="L72" s="3">
        <v>288</v>
      </c>
      <c r="M72" s="3">
        <v>0.17100000000000001</v>
      </c>
      <c r="N72" s="2">
        <v>0.16200000000000001</v>
      </c>
      <c r="O72" s="2">
        <v>0</v>
      </c>
      <c r="P72" s="15" t="s">
        <v>12</v>
      </c>
      <c r="Q72" s="14"/>
      <c r="R72" s="2" t="s">
        <v>43</v>
      </c>
      <c r="S72" s="3">
        <v>412</v>
      </c>
      <c r="T72" s="3">
        <v>0.63100000000000001</v>
      </c>
      <c r="U72" s="2">
        <v>0.02</v>
      </c>
      <c r="V72" s="2">
        <v>0</v>
      </c>
      <c r="W72" s="15" t="s">
        <v>9</v>
      </c>
      <c r="X72" s="14"/>
      <c r="Y72" s="2" t="s">
        <v>43</v>
      </c>
      <c r="Z72" s="3">
        <v>335</v>
      </c>
      <c r="AA72" s="3">
        <v>3.76</v>
      </c>
      <c r="AB72" s="2">
        <v>8.4900000000000003E-2</v>
      </c>
      <c r="AC72" s="2">
        <v>0</v>
      </c>
      <c r="AD72" s="15" t="s">
        <v>11</v>
      </c>
      <c r="AE72" s="14"/>
      <c r="AF72" s="2" t="s">
        <v>43</v>
      </c>
      <c r="AG72" s="3">
        <v>340</v>
      </c>
      <c r="AH72" s="3">
        <v>7.1099999999999997E-2</v>
      </c>
      <c r="AI72" s="2">
        <v>2.2100000000000002E-2</v>
      </c>
      <c r="AJ72" s="2">
        <v>0</v>
      </c>
    </row>
    <row r="73" spans="1:36" ht="13.95" customHeight="1" x14ac:dyDescent="0.25">
      <c r="A73" s="15" t="s">
        <v>9</v>
      </c>
      <c r="B73" s="16" t="s">
        <v>163</v>
      </c>
      <c r="C73" s="2" t="s">
        <v>34</v>
      </c>
      <c r="D73" s="14"/>
      <c r="E73" s="3">
        <v>200</v>
      </c>
      <c r="F73" s="3">
        <v>2.2999999999999998</v>
      </c>
      <c r="G73" s="6">
        <v>5.2699999999999997E-2</v>
      </c>
      <c r="H73" s="2">
        <v>0</v>
      </c>
      <c r="I73" s="16" t="s">
        <v>52</v>
      </c>
      <c r="J73" s="14"/>
      <c r="K73" s="2" t="s">
        <v>44</v>
      </c>
      <c r="L73" s="3">
        <v>345</v>
      </c>
      <c r="M73" s="3">
        <v>0.20499999999999999</v>
      </c>
      <c r="N73" s="2">
        <v>0.19500000000000001</v>
      </c>
      <c r="O73" s="2">
        <v>0</v>
      </c>
      <c r="P73" s="15" t="s">
        <v>12</v>
      </c>
      <c r="Q73" s="14"/>
      <c r="R73" s="2" t="s">
        <v>44</v>
      </c>
      <c r="S73" s="3">
        <v>494</v>
      </c>
      <c r="T73" s="3">
        <v>0.75800000000000001</v>
      </c>
      <c r="U73" s="2">
        <v>2.4E-2</v>
      </c>
      <c r="V73" s="2">
        <v>0</v>
      </c>
      <c r="W73" s="15" t="s">
        <v>9</v>
      </c>
      <c r="X73" s="14"/>
      <c r="Y73" s="2" t="s">
        <v>44</v>
      </c>
      <c r="Z73" s="3">
        <v>402</v>
      </c>
      <c r="AA73" s="3">
        <v>4.51</v>
      </c>
      <c r="AB73" s="2">
        <v>0.10199999999999999</v>
      </c>
      <c r="AC73" s="2">
        <v>0</v>
      </c>
      <c r="AD73" s="15" t="s">
        <v>11</v>
      </c>
      <c r="AE73" s="14"/>
      <c r="AF73" s="2" t="s">
        <v>44</v>
      </c>
      <c r="AG73" s="3">
        <v>408</v>
      </c>
      <c r="AH73" s="3">
        <v>8.5300000000000001E-2</v>
      </c>
      <c r="AI73" s="2">
        <v>2.6499999999999999E-2</v>
      </c>
      <c r="AJ73" s="2">
        <v>0</v>
      </c>
    </row>
    <row r="74" spans="1:36" ht="13.95" customHeight="1" x14ac:dyDescent="0.25">
      <c r="A74" s="15" t="s">
        <v>9</v>
      </c>
      <c r="B74" s="16" t="s">
        <v>164</v>
      </c>
      <c r="C74" s="2" t="s">
        <v>35</v>
      </c>
      <c r="D74" s="14"/>
      <c r="E74" s="3">
        <v>200</v>
      </c>
      <c r="F74" s="3">
        <v>2.3199999999999998</v>
      </c>
      <c r="G74" s="6">
        <v>5.33E-2</v>
      </c>
      <c r="H74" s="2">
        <v>0</v>
      </c>
      <c r="I74" s="16" t="s">
        <v>52</v>
      </c>
      <c r="J74" s="14" t="s">
        <v>33</v>
      </c>
      <c r="K74" s="2" t="s">
        <v>45</v>
      </c>
      <c r="L74" s="3">
        <v>57.5</v>
      </c>
      <c r="M74" s="3">
        <v>3.4000000000000002E-2</v>
      </c>
      <c r="N74" s="2">
        <v>3.32E-2</v>
      </c>
      <c r="O74" s="2">
        <v>0</v>
      </c>
      <c r="P74" s="15" t="s">
        <v>12</v>
      </c>
      <c r="Q74" s="14" t="s">
        <v>33</v>
      </c>
      <c r="R74" s="2" t="s">
        <v>45</v>
      </c>
      <c r="S74" s="3">
        <v>82.8</v>
      </c>
      <c r="T74" s="3">
        <v>0.127</v>
      </c>
      <c r="U74" s="6" t="s">
        <v>106</v>
      </c>
      <c r="V74" s="2">
        <v>0</v>
      </c>
      <c r="W74" s="15" t="s">
        <v>9</v>
      </c>
      <c r="X74" s="14" t="s">
        <v>33</v>
      </c>
      <c r="Y74" s="2" t="s">
        <v>45</v>
      </c>
      <c r="Z74" s="3">
        <v>66.8</v>
      </c>
      <c r="AA74" s="3">
        <v>0.76300000000000001</v>
      </c>
      <c r="AB74" s="2">
        <v>1.7399999999999999E-2</v>
      </c>
      <c r="AC74" s="2">
        <v>0</v>
      </c>
      <c r="AD74" s="15" t="s">
        <v>11</v>
      </c>
      <c r="AE74" s="14" t="s">
        <v>33</v>
      </c>
      <c r="AF74" s="2" t="s">
        <v>45</v>
      </c>
      <c r="AG74" s="3">
        <v>68.7</v>
      </c>
      <c r="AH74" s="3">
        <v>1.47E-2</v>
      </c>
      <c r="AI74" s="6" t="s">
        <v>107</v>
      </c>
      <c r="AJ74" s="2">
        <v>0</v>
      </c>
    </row>
    <row r="75" spans="1:36" ht="13.95" customHeight="1" x14ac:dyDescent="0.25">
      <c r="A75" s="15" t="s">
        <v>9</v>
      </c>
      <c r="B75" s="16" t="s">
        <v>165</v>
      </c>
      <c r="C75" s="2" t="s">
        <v>36</v>
      </c>
      <c r="D75" s="14"/>
      <c r="E75" s="3">
        <v>200</v>
      </c>
      <c r="F75" s="3">
        <v>2.34</v>
      </c>
      <c r="G75" s="6">
        <v>5.3900000000000003E-2</v>
      </c>
      <c r="H75" s="2">
        <v>0</v>
      </c>
      <c r="I75" s="16" t="s">
        <v>52</v>
      </c>
      <c r="J75" s="14"/>
      <c r="K75" s="2" t="s">
        <v>38</v>
      </c>
      <c r="L75" s="3">
        <v>115</v>
      </c>
      <c r="M75" s="3">
        <v>6.8099999999999994E-2</v>
      </c>
      <c r="N75" s="2">
        <v>6.6400000000000001E-2</v>
      </c>
      <c r="O75" s="2">
        <v>0</v>
      </c>
      <c r="P75" s="15" t="s">
        <v>12</v>
      </c>
      <c r="Q75" s="14"/>
      <c r="R75" s="2" t="s">
        <v>38</v>
      </c>
      <c r="S75" s="3">
        <v>166</v>
      </c>
      <c r="T75" s="3">
        <v>0.253</v>
      </c>
      <c r="U75" s="6" t="s">
        <v>108</v>
      </c>
      <c r="V75" s="2">
        <v>0</v>
      </c>
      <c r="W75" s="15" t="s">
        <v>9</v>
      </c>
      <c r="X75" s="14"/>
      <c r="Y75" s="2" t="s">
        <v>38</v>
      </c>
      <c r="Z75" s="3">
        <v>134</v>
      </c>
      <c r="AA75" s="3">
        <v>1.53</v>
      </c>
      <c r="AB75" s="2">
        <v>3.4700000000000002E-2</v>
      </c>
      <c r="AC75" s="2">
        <v>0</v>
      </c>
      <c r="AD75" s="15" t="s">
        <v>11</v>
      </c>
      <c r="AE75" s="14"/>
      <c r="AF75" s="2" t="s">
        <v>38</v>
      </c>
      <c r="AG75" s="3">
        <v>137</v>
      </c>
      <c r="AH75" s="3">
        <v>2.9499999999999998E-2</v>
      </c>
      <c r="AI75" s="6" t="s">
        <v>109</v>
      </c>
      <c r="AJ75" s="2">
        <v>0</v>
      </c>
    </row>
    <row r="76" spans="1:36" ht="13.95" customHeight="1" x14ac:dyDescent="0.25">
      <c r="A76" s="15" t="s">
        <v>9</v>
      </c>
      <c r="B76" s="16" t="s">
        <v>166</v>
      </c>
      <c r="C76" s="2" t="s">
        <v>37</v>
      </c>
      <c r="D76" s="14"/>
      <c r="E76" s="3">
        <v>199</v>
      </c>
      <c r="F76" s="3">
        <v>2.35</v>
      </c>
      <c r="G76" s="6">
        <v>5.45E-2</v>
      </c>
      <c r="H76" s="2">
        <v>0</v>
      </c>
      <c r="I76" s="16" t="s">
        <v>52</v>
      </c>
      <c r="J76" s="14"/>
      <c r="K76" s="2" t="s">
        <v>41</v>
      </c>
      <c r="L76" s="2">
        <f t="shared" ref="L76" si="18">VLOOKUP(J74,$C$2:$H$26,3,FALSE)</f>
        <v>172</v>
      </c>
      <c r="M76" s="2">
        <f t="shared" ref="M76" si="19">VLOOKUP(J74,$C$2:$H$26,4,FALSE)</f>
        <v>0.10199999999999999</v>
      </c>
      <c r="N76" s="2">
        <f t="shared" ref="N76" si="20">VLOOKUP(J74,$C$2:$H$26,5,FALSE)</f>
        <v>9.9599999999999994E-2</v>
      </c>
      <c r="O76" s="2">
        <v>0</v>
      </c>
      <c r="P76" s="15" t="s">
        <v>12</v>
      </c>
      <c r="Q76" s="14"/>
      <c r="R76" s="2" t="s">
        <v>41</v>
      </c>
      <c r="S76" s="2">
        <f>VLOOKUP(Q74,$C$27:$H$51,3,FALSE)</f>
        <v>249</v>
      </c>
      <c r="T76" s="3">
        <f>VLOOKUP(Q74,$C$27:$H$51,4,FALSE)</f>
        <v>0.38</v>
      </c>
      <c r="U76" s="2">
        <f>VLOOKUP(Q74,$C$27:$H$51,5,FALSE)</f>
        <v>1.23E-2</v>
      </c>
      <c r="V76" s="2">
        <v>0</v>
      </c>
      <c r="W76" s="15" t="s">
        <v>9</v>
      </c>
      <c r="X76" s="14"/>
      <c r="Y76" s="2" t="s">
        <v>41</v>
      </c>
      <c r="Z76" s="3">
        <f>VLOOKUP(X74,$C$52:$H$76,3,FALSE)</f>
        <v>200</v>
      </c>
      <c r="AA76" s="3">
        <f>VLOOKUP(X74,$C$52:$H$76,4,FALSE)</f>
        <v>2.29</v>
      </c>
      <c r="AB76" s="2">
        <f>VLOOKUP(X74,$C$52:$H$76,5,FALSE)</f>
        <v>5.21E-2</v>
      </c>
      <c r="AC76" s="2">
        <v>0</v>
      </c>
      <c r="AD76" s="15" t="s">
        <v>11</v>
      </c>
      <c r="AE76" s="14"/>
      <c r="AF76" s="2" t="s">
        <v>41</v>
      </c>
      <c r="AG76" s="3">
        <f>VLOOKUP(AE74,$C$77:$H$101,3,FALSE)</f>
        <v>206</v>
      </c>
      <c r="AH76" s="3">
        <f>VLOOKUP(AE74,$C$77:$H$101,4,FALSE)</f>
        <v>4.4200000000000003E-2</v>
      </c>
      <c r="AI76" s="2">
        <f>VLOOKUP(AE74,$C$77:$H$101,5,FALSE)</f>
        <v>1.35E-2</v>
      </c>
      <c r="AJ76" s="2">
        <v>0</v>
      </c>
    </row>
    <row r="77" spans="1:36" ht="13.95" customHeight="1" x14ac:dyDescent="0.25">
      <c r="A77" s="15" t="s">
        <v>11</v>
      </c>
      <c r="B77" s="16" t="s">
        <v>40</v>
      </c>
      <c r="C77" s="2" t="s">
        <v>14</v>
      </c>
      <c r="D77" s="14" t="s">
        <v>1</v>
      </c>
      <c r="E77" s="3">
        <v>187</v>
      </c>
      <c r="F77" s="3">
        <v>3.5200000000000002E-2</v>
      </c>
      <c r="G77" s="6">
        <v>1.1299999999999999E-2</v>
      </c>
      <c r="H77" s="2">
        <v>0</v>
      </c>
      <c r="I77" s="16" t="s">
        <v>52</v>
      </c>
      <c r="J77" s="14"/>
      <c r="K77" s="2" t="s">
        <v>42</v>
      </c>
      <c r="L77" s="5">
        <v>230</v>
      </c>
      <c r="M77" s="5">
        <v>0.13600000000000001</v>
      </c>
      <c r="N77" s="2">
        <v>0.13300000000000001</v>
      </c>
      <c r="O77" s="2">
        <v>0</v>
      </c>
      <c r="P77" s="15" t="s">
        <v>12</v>
      </c>
      <c r="Q77" s="14"/>
      <c r="R77" s="2" t="s">
        <v>42</v>
      </c>
      <c r="S77" s="5">
        <v>331</v>
      </c>
      <c r="T77" s="5">
        <v>0.50700000000000001</v>
      </c>
      <c r="U77" s="2">
        <v>1.6400000000000001E-2</v>
      </c>
      <c r="V77" s="2">
        <v>0</v>
      </c>
      <c r="W77" s="15" t="s">
        <v>9</v>
      </c>
      <c r="X77" s="14"/>
      <c r="Y77" s="2" t="s">
        <v>42</v>
      </c>
      <c r="Z77" s="3">
        <v>267</v>
      </c>
      <c r="AA77" s="3">
        <v>3.05</v>
      </c>
      <c r="AB77" s="2">
        <v>6.9400000000000003E-2</v>
      </c>
      <c r="AC77" s="2">
        <v>0</v>
      </c>
      <c r="AD77" s="15" t="s">
        <v>11</v>
      </c>
      <c r="AE77" s="14"/>
      <c r="AF77" s="2" t="s">
        <v>42</v>
      </c>
      <c r="AG77" s="3">
        <v>275</v>
      </c>
      <c r="AH77" s="3">
        <v>5.8900000000000001E-2</v>
      </c>
      <c r="AI77" s="2">
        <v>1.7999999999999999E-2</v>
      </c>
      <c r="AJ77" s="2">
        <v>0</v>
      </c>
    </row>
    <row r="78" spans="1:36" ht="16.8" x14ac:dyDescent="0.25">
      <c r="A78" s="15" t="s">
        <v>11</v>
      </c>
      <c r="B78" s="16" t="s">
        <v>167</v>
      </c>
      <c r="C78" s="2" t="s">
        <v>13</v>
      </c>
      <c r="D78" s="14"/>
      <c r="E78" s="3">
        <v>188</v>
      </c>
      <c r="F78" s="3">
        <v>3.5499999999999997E-2</v>
      </c>
      <c r="G78" s="6">
        <v>1.14E-2</v>
      </c>
      <c r="H78" s="2">
        <v>0</v>
      </c>
      <c r="I78" s="16" t="s">
        <v>52</v>
      </c>
      <c r="J78" s="14"/>
      <c r="K78" s="2" t="s">
        <v>43</v>
      </c>
      <c r="L78" s="3">
        <v>287</v>
      </c>
      <c r="M78" s="3">
        <v>0.17</v>
      </c>
      <c r="N78" s="2">
        <v>0.16600000000000001</v>
      </c>
      <c r="O78" s="2">
        <v>0</v>
      </c>
      <c r="P78" s="15" t="s">
        <v>12</v>
      </c>
      <c r="Q78" s="14"/>
      <c r="R78" s="2" t="s">
        <v>43</v>
      </c>
      <c r="S78" s="3">
        <v>414</v>
      </c>
      <c r="T78" s="3">
        <v>0.63300000000000001</v>
      </c>
      <c r="U78" s="2">
        <v>2.0500000000000001E-2</v>
      </c>
      <c r="V78" s="2">
        <v>0</v>
      </c>
      <c r="W78" s="15" t="s">
        <v>9</v>
      </c>
      <c r="X78" s="14"/>
      <c r="Y78" s="2" t="s">
        <v>43</v>
      </c>
      <c r="Z78" s="3">
        <v>334</v>
      </c>
      <c r="AA78" s="3">
        <v>3.81</v>
      </c>
      <c r="AB78" s="2">
        <v>8.6800000000000002E-2</v>
      </c>
      <c r="AC78" s="2">
        <v>0</v>
      </c>
      <c r="AD78" s="15" t="s">
        <v>11</v>
      </c>
      <c r="AE78" s="14"/>
      <c r="AF78" s="2" t="s">
        <v>43</v>
      </c>
      <c r="AG78" s="3">
        <v>343</v>
      </c>
      <c r="AH78" s="3">
        <v>7.3700000000000002E-2</v>
      </c>
      <c r="AI78" s="2">
        <v>2.2499999999999999E-2</v>
      </c>
      <c r="AJ78" s="2">
        <v>0</v>
      </c>
    </row>
    <row r="79" spans="1:36" ht="16.8" x14ac:dyDescent="0.25">
      <c r="A79" s="15" t="s">
        <v>11</v>
      </c>
      <c r="B79" s="16" t="s">
        <v>168</v>
      </c>
      <c r="C79" s="2" t="s">
        <v>15</v>
      </c>
      <c r="D79" s="14"/>
      <c r="E79" s="3">
        <v>189</v>
      </c>
      <c r="F79" s="3">
        <v>3.5799999999999998E-2</v>
      </c>
      <c r="G79" s="6">
        <v>1.15E-2</v>
      </c>
      <c r="H79" s="2">
        <v>0</v>
      </c>
      <c r="I79" s="16" t="s">
        <v>52</v>
      </c>
      <c r="J79" s="14"/>
      <c r="K79" s="2" t="s">
        <v>44</v>
      </c>
      <c r="L79" s="3">
        <v>345</v>
      </c>
      <c r="M79" s="3">
        <v>0.20399999999999999</v>
      </c>
      <c r="N79" s="2">
        <v>0.19900000000000001</v>
      </c>
      <c r="O79" s="2">
        <v>0</v>
      </c>
      <c r="P79" s="15" t="s">
        <v>12</v>
      </c>
      <c r="Q79" s="14"/>
      <c r="R79" s="2" t="s">
        <v>44</v>
      </c>
      <c r="S79" s="3">
        <v>497</v>
      </c>
      <c r="T79" s="3">
        <v>0.76</v>
      </c>
      <c r="U79" s="2">
        <v>2.46E-2</v>
      </c>
      <c r="V79" s="2">
        <v>0</v>
      </c>
      <c r="W79" s="15" t="s">
        <v>9</v>
      </c>
      <c r="X79" s="14"/>
      <c r="Y79" s="2" t="s">
        <v>44</v>
      </c>
      <c r="Z79" s="3">
        <v>401</v>
      </c>
      <c r="AA79" s="3">
        <v>4.58</v>
      </c>
      <c r="AB79" s="2">
        <v>0.104</v>
      </c>
      <c r="AC79" s="2">
        <v>0</v>
      </c>
      <c r="AD79" s="15" t="s">
        <v>11</v>
      </c>
      <c r="AE79" s="14"/>
      <c r="AF79" s="2" t="s">
        <v>44</v>
      </c>
      <c r="AG79" s="3">
        <v>412</v>
      </c>
      <c r="AH79" s="3">
        <v>8.8400000000000006E-2</v>
      </c>
      <c r="AI79" s="2">
        <v>2.7E-2</v>
      </c>
      <c r="AJ79" s="2">
        <v>0</v>
      </c>
    </row>
    <row r="80" spans="1:36" ht="16.8" x14ac:dyDescent="0.25">
      <c r="A80" s="15" t="s">
        <v>11</v>
      </c>
      <c r="B80" s="16" t="s">
        <v>169</v>
      </c>
      <c r="C80" s="2" t="s">
        <v>16</v>
      </c>
      <c r="D80" s="14"/>
      <c r="E80" s="3">
        <v>190</v>
      </c>
      <c r="F80" s="3">
        <v>3.61E-2</v>
      </c>
      <c r="G80" s="6">
        <v>1.1599999999999999E-2</v>
      </c>
      <c r="H80" s="2">
        <v>0</v>
      </c>
      <c r="I80" s="16" t="s">
        <v>52</v>
      </c>
      <c r="J80" s="14" t="s">
        <v>63</v>
      </c>
      <c r="K80" s="2" t="s">
        <v>45</v>
      </c>
      <c r="L80" s="3">
        <v>57.4</v>
      </c>
      <c r="M80" s="3">
        <v>3.39E-2</v>
      </c>
      <c r="N80" s="2">
        <v>3.4099999999999998E-2</v>
      </c>
      <c r="O80" s="2">
        <v>0</v>
      </c>
      <c r="P80" s="15" t="s">
        <v>12</v>
      </c>
      <c r="Q80" s="14" t="s">
        <v>63</v>
      </c>
      <c r="R80" s="2" t="s">
        <v>45</v>
      </c>
      <c r="S80" s="3">
        <v>83.3</v>
      </c>
      <c r="T80" s="3">
        <v>0.127</v>
      </c>
      <c r="U80" s="6" t="s">
        <v>110</v>
      </c>
      <c r="V80" s="2">
        <v>0</v>
      </c>
      <c r="W80" s="15" t="s">
        <v>9</v>
      </c>
      <c r="X80" s="14" t="s">
        <v>63</v>
      </c>
      <c r="Y80" s="2" t="s">
        <v>45</v>
      </c>
      <c r="Z80" s="3">
        <v>66.599999999999994</v>
      </c>
      <c r="AA80" s="3">
        <v>0.77400000000000002</v>
      </c>
      <c r="AB80" s="2">
        <v>1.78E-2</v>
      </c>
      <c r="AC80" s="2">
        <v>0</v>
      </c>
      <c r="AD80" s="15" t="s">
        <v>11</v>
      </c>
      <c r="AE80" s="14" t="s">
        <v>63</v>
      </c>
      <c r="AF80" s="2" t="s">
        <v>45</v>
      </c>
      <c r="AG80" s="3">
        <v>69.400000000000006</v>
      </c>
      <c r="AH80" s="3">
        <v>1.54E-2</v>
      </c>
      <c r="AI80" s="6" t="s">
        <v>111</v>
      </c>
      <c r="AJ80" s="2">
        <v>0</v>
      </c>
    </row>
    <row r="81" spans="1:36" ht="16.8" x14ac:dyDescent="0.25">
      <c r="A81" s="15" t="s">
        <v>11</v>
      </c>
      <c r="B81" s="16" t="s">
        <v>170</v>
      </c>
      <c r="C81" s="2" t="s">
        <v>17</v>
      </c>
      <c r="D81" s="14"/>
      <c r="E81" s="3">
        <v>191</v>
      </c>
      <c r="F81" s="3">
        <v>3.6499999999999998E-2</v>
      </c>
      <c r="G81" s="6">
        <v>1.17E-2</v>
      </c>
      <c r="H81" s="2">
        <v>0</v>
      </c>
      <c r="I81" s="16" t="s">
        <v>52</v>
      </c>
      <c r="J81" s="14"/>
      <c r="K81" s="2" t="s">
        <v>38</v>
      </c>
      <c r="L81" s="3">
        <v>115</v>
      </c>
      <c r="M81" s="3">
        <v>6.7900000000000002E-2</v>
      </c>
      <c r="N81" s="2">
        <v>6.8099999999999994E-2</v>
      </c>
      <c r="O81" s="2">
        <v>0</v>
      </c>
      <c r="P81" s="15" t="s">
        <v>12</v>
      </c>
      <c r="Q81" s="14"/>
      <c r="R81" s="2" t="s">
        <v>38</v>
      </c>
      <c r="S81" s="3">
        <v>167</v>
      </c>
      <c r="T81" s="3">
        <v>0.254</v>
      </c>
      <c r="U81" s="6" t="s">
        <v>112</v>
      </c>
      <c r="V81" s="2">
        <v>0</v>
      </c>
      <c r="W81" s="15" t="s">
        <v>9</v>
      </c>
      <c r="X81" s="14"/>
      <c r="Y81" s="2" t="s">
        <v>38</v>
      </c>
      <c r="Z81" s="3">
        <v>133</v>
      </c>
      <c r="AA81" s="3">
        <v>1.55</v>
      </c>
      <c r="AB81" s="2">
        <v>3.5499999999999997E-2</v>
      </c>
      <c r="AC81" s="2">
        <v>0</v>
      </c>
      <c r="AD81" s="15" t="s">
        <v>11</v>
      </c>
      <c r="AE81" s="14"/>
      <c r="AF81" s="2" t="s">
        <v>38</v>
      </c>
      <c r="AG81" s="3">
        <v>139</v>
      </c>
      <c r="AH81" s="3">
        <v>3.0800000000000001E-2</v>
      </c>
      <c r="AI81" s="6" t="s">
        <v>113</v>
      </c>
      <c r="AJ81" s="2">
        <v>0</v>
      </c>
    </row>
    <row r="82" spans="1:36" ht="16.8" x14ac:dyDescent="0.25">
      <c r="A82" s="15" t="s">
        <v>11</v>
      </c>
      <c r="B82" s="16" t="s">
        <v>171</v>
      </c>
      <c r="C82" s="2" t="s">
        <v>18</v>
      </c>
      <c r="D82" s="14"/>
      <c r="E82" s="3">
        <v>192</v>
      </c>
      <c r="F82" s="3">
        <v>3.6799999999999999E-2</v>
      </c>
      <c r="G82" s="6">
        <v>1.18E-2</v>
      </c>
      <c r="H82" s="2">
        <v>0</v>
      </c>
      <c r="I82" s="16" t="s">
        <v>52</v>
      </c>
      <c r="J82" s="14"/>
      <c r="K82" s="2" t="s">
        <v>41</v>
      </c>
      <c r="L82" s="2">
        <f t="shared" ref="L82" si="21">VLOOKUP(J80,$C$2:$H$26,3,FALSE)</f>
        <v>172</v>
      </c>
      <c r="M82" s="2">
        <f t="shared" ref="M82" si="22">VLOOKUP(J80,$C$2:$H$26,4,FALSE)</f>
        <v>0.10199999999999999</v>
      </c>
      <c r="N82" s="2">
        <f t="shared" ref="N82" si="23">VLOOKUP(J80,$C$2:$H$26,5,FALSE)</f>
        <v>0.10199999999999999</v>
      </c>
      <c r="O82" s="2">
        <v>0</v>
      </c>
      <c r="P82" s="15" t="s">
        <v>12</v>
      </c>
      <c r="Q82" s="14"/>
      <c r="R82" s="2" t="s">
        <v>41</v>
      </c>
      <c r="S82" s="2">
        <f>VLOOKUP(Q80,$C$27:$H$51,3,FALSE)</f>
        <v>250</v>
      </c>
      <c r="T82" s="3">
        <f>VLOOKUP(Q80,$C$27:$H$51,4,FALSE)</f>
        <v>0.38100000000000001</v>
      </c>
      <c r="U82" s="2">
        <f>VLOOKUP(Q80,$C$27:$H$51,5,FALSE)</f>
        <v>1.26E-2</v>
      </c>
      <c r="V82" s="2">
        <v>0</v>
      </c>
      <c r="W82" s="15" t="s">
        <v>9</v>
      </c>
      <c r="X82" s="14"/>
      <c r="Y82" s="2" t="s">
        <v>41</v>
      </c>
      <c r="Z82" s="3">
        <f>VLOOKUP(X80,$C$52:$H$76,3,FALSE)</f>
        <v>200</v>
      </c>
      <c r="AA82" s="3">
        <f>VLOOKUP(X80,$C$52:$H$76,4,FALSE)</f>
        <v>2.3199999999999998</v>
      </c>
      <c r="AB82" s="2">
        <f>VLOOKUP(X80,$C$52:$H$76,5,FALSE)</f>
        <v>5.33E-2</v>
      </c>
      <c r="AC82" s="2">
        <v>0</v>
      </c>
      <c r="AD82" s="15" t="s">
        <v>11</v>
      </c>
      <c r="AE82" s="14"/>
      <c r="AF82" s="2" t="s">
        <v>41</v>
      </c>
      <c r="AG82" s="3">
        <f>VLOOKUP(AE80,$C$77:$H$101,3,FALSE)</f>
        <v>208</v>
      </c>
      <c r="AH82" s="3">
        <f>VLOOKUP(AE80,$C$77:$H$101,4,FALSE)</f>
        <v>4.6199999999999998E-2</v>
      </c>
      <c r="AI82" s="2">
        <f>VLOOKUP(AE80,$C$77:$H$101,5,FALSE)</f>
        <v>1.38E-2</v>
      </c>
      <c r="AJ82" s="2">
        <v>0</v>
      </c>
    </row>
    <row r="83" spans="1:36" ht="16.8" x14ac:dyDescent="0.25">
      <c r="A83" s="15" t="s">
        <v>11</v>
      </c>
      <c r="B83" s="16" t="s">
        <v>172</v>
      </c>
      <c r="C83" s="2" t="s">
        <v>19</v>
      </c>
      <c r="D83" s="14"/>
      <c r="E83" s="3">
        <v>193</v>
      </c>
      <c r="F83" s="3">
        <v>3.7100000000000001E-2</v>
      </c>
      <c r="G83" s="6">
        <v>1.1900000000000001E-2</v>
      </c>
      <c r="H83" s="2">
        <v>0</v>
      </c>
      <c r="I83" s="16" t="s">
        <v>52</v>
      </c>
      <c r="J83" s="14"/>
      <c r="K83" s="2" t="s">
        <v>42</v>
      </c>
      <c r="L83" s="5">
        <v>230</v>
      </c>
      <c r="M83" s="5">
        <v>0.13600000000000001</v>
      </c>
      <c r="N83" s="2">
        <v>0.13600000000000001</v>
      </c>
      <c r="O83" s="2">
        <v>0</v>
      </c>
      <c r="P83" s="15" t="s">
        <v>12</v>
      </c>
      <c r="Q83" s="14"/>
      <c r="R83" s="2" t="s">
        <v>42</v>
      </c>
      <c r="S83" s="5">
        <v>333</v>
      </c>
      <c r="T83" s="5">
        <v>0.50800000000000001</v>
      </c>
      <c r="U83" s="2">
        <v>1.6799999999999999E-2</v>
      </c>
      <c r="V83" s="2">
        <v>0</v>
      </c>
      <c r="W83" s="15" t="s">
        <v>9</v>
      </c>
      <c r="X83" s="14"/>
      <c r="Y83" s="2" t="s">
        <v>42</v>
      </c>
      <c r="Z83" s="3">
        <v>266</v>
      </c>
      <c r="AA83" s="3">
        <v>3.09</v>
      </c>
      <c r="AB83" s="2">
        <v>7.0999999999999994E-2</v>
      </c>
      <c r="AC83" s="2">
        <v>0</v>
      </c>
      <c r="AD83" s="15" t="s">
        <v>11</v>
      </c>
      <c r="AE83" s="14"/>
      <c r="AF83" s="2" t="s">
        <v>42</v>
      </c>
      <c r="AG83" s="3">
        <v>277</v>
      </c>
      <c r="AH83" s="3">
        <v>6.1600000000000002E-2</v>
      </c>
      <c r="AI83" s="2">
        <v>1.84E-2</v>
      </c>
      <c r="AJ83" s="2">
        <v>0</v>
      </c>
    </row>
    <row r="84" spans="1:36" ht="16.8" x14ac:dyDescent="0.25">
      <c r="A84" s="15" t="s">
        <v>11</v>
      </c>
      <c r="B84" s="16" t="s">
        <v>173</v>
      </c>
      <c r="C84" s="2" t="s">
        <v>20</v>
      </c>
      <c r="D84" s="14"/>
      <c r="E84" s="3">
        <v>194</v>
      </c>
      <c r="F84" s="3">
        <v>3.7499999999999999E-2</v>
      </c>
      <c r="G84" s="6">
        <v>1.2E-2</v>
      </c>
      <c r="H84" s="2">
        <v>0</v>
      </c>
      <c r="I84" s="16" t="s">
        <v>52</v>
      </c>
      <c r="J84" s="14"/>
      <c r="K84" s="2" t="s">
        <v>43</v>
      </c>
      <c r="L84" s="3">
        <v>287</v>
      </c>
      <c r="M84" s="3">
        <v>0.17</v>
      </c>
      <c r="N84" s="2">
        <v>0.17</v>
      </c>
      <c r="O84" s="2">
        <v>0</v>
      </c>
      <c r="P84" s="15" t="s">
        <v>12</v>
      </c>
      <c r="Q84" s="14"/>
      <c r="R84" s="2" t="s">
        <v>43</v>
      </c>
      <c r="S84" s="3">
        <v>416</v>
      </c>
      <c r="T84" s="3">
        <v>0.63500000000000001</v>
      </c>
      <c r="U84" s="2">
        <v>2.1000000000000001E-2</v>
      </c>
      <c r="V84" s="2">
        <v>0</v>
      </c>
      <c r="W84" s="15" t="s">
        <v>9</v>
      </c>
      <c r="X84" s="14"/>
      <c r="Y84" s="2" t="s">
        <v>43</v>
      </c>
      <c r="Z84" s="3">
        <v>333</v>
      </c>
      <c r="AA84" s="3">
        <v>3.87</v>
      </c>
      <c r="AB84" s="2">
        <v>8.8800000000000004E-2</v>
      </c>
      <c r="AC84" s="2">
        <v>0</v>
      </c>
      <c r="AD84" s="15" t="s">
        <v>11</v>
      </c>
      <c r="AE84" s="14"/>
      <c r="AF84" s="2" t="s">
        <v>43</v>
      </c>
      <c r="AG84" s="3">
        <v>347</v>
      </c>
      <c r="AH84" s="3">
        <v>7.6999999999999999E-2</v>
      </c>
      <c r="AI84" s="2">
        <v>2.3E-2</v>
      </c>
      <c r="AJ84" s="2">
        <v>0</v>
      </c>
    </row>
    <row r="85" spans="1:36" ht="16.8" x14ac:dyDescent="0.25">
      <c r="A85" s="15" t="s">
        <v>11</v>
      </c>
      <c r="B85" s="16" t="s">
        <v>174</v>
      </c>
      <c r="C85" s="2" t="s">
        <v>21</v>
      </c>
      <c r="D85" s="14"/>
      <c r="E85" s="3">
        <v>195</v>
      </c>
      <c r="F85" s="3">
        <v>3.78E-2</v>
      </c>
      <c r="G85" s="6">
        <v>1.21E-2</v>
      </c>
      <c r="H85" s="2">
        <v>0</v>
      </c>
      <c r="I85" s="16" t="s">
        <v>52</v>
      </c>
      <c r="J85" s="14"/>
      <c r="K85" s="2" t="s">
        <v>44</v>
      </c>
      <c r="L85" s="3">
        <v>345</v>
      </c>
      <c r="M85" s="3">
        <v>0.20399999999999999</v>
      </c>
      <c r="N85" s="2">
        <v>0.20399999999999999</v>
      </c>
      <c r="O85" s="2">
        <v>0</v>
      </c>
      <c r="P85" s="15" t="s">
        <v>12</v>
      </c>
      <c r="Q85" s="14"/>
      <c r="R85" s="2" t="s">
        <v>44</v>
      </c>
      <c r="S85" s="3">
        <v>500</v>
      </c>
      <c r="T85" s="3">
        <v>0.76200000000000001</v>
      </c>
      <c r="U85" s="2">
        <v>2.52E-2</v>
      </c>
      <c r="V85" s="2">
        <v>0</v>
      </c>
      <c r="W85" s="15" t="s">
        <v>9</v>
      </c>
      <c r="X85" s="14"/>
      <c r="Y85" s="2" t="s">
        <v>44</v>
      </c>
      <c r="Z85" s="3">
        <v>400</v>
      </c>
      <c r="AA85" s="3">
        <v>4.6399999999999997</v>
      </c>
      <c r="AB85" s="2">
        <v>0.107</v>
      </c>
      <c r="AC85" s="2">
        <v>0</v>
      </c>
      <c r="AD85" s="15" t="s">
        <v>11</v>
      </c>
      <c r="AE85" s="14"/>
      <c r="AF85" s="2" t="s">
        <v>44</v>
      </c>
      <c r="AG85" s="3">
        <v>416</v>
      </c>
      <c r="AH85" s="3">
        <v>9.2299999999999993E-2</v>
      </c>
      <c r="AI85" s="2">
        <v>2.76E-2</v>
      </c>
      <c r="AJ85" s="2">
        <v>0</v>
      </c>
    </row>
    <row r="86" spans="1:36" ht="16.8" x14ac:dyDescent="0.25">
      <c r="A86" s="15" t="s">
        <v>11</v>
      </c>
      <c r="B86" s="16" t="s">
        <v>175</v>
      </c>
      <c r="C86" s="2" t="s">
        <v>22</v>
      </c>
      <c r="D86" s="14"/>
      <c r="E86" s="3">
        <v>196</v>
      </c>
      <c r="F86" s="3">
        <v>3.8199999999999998E-2</v>
      </c>
      <c r="G86" s="6">
        <v>1.2200000000000001E-2</v>
      </c>
      <c r="H86" s="2">
        <v>0</v>
      </c>
      <c r="I86" s="16" t="s">
        <v>52</v>
      </c>
      <c r="J86" s="14" t="s">
        <v>51</v>
      </c>
      <c r="K86" s="2" t="s">
        <v>45</v>
      </c>
      <c r="L86" s="3">
        <v>57.4</v>
      </c>
      <c r="M86" s="3">
        <v>3.39E-2</v>
      </c>
      <c r="N86" s="2">
        <v>3.5000000000000003E-2</v>
      </c>
      <c r="O86" s="2">
        <v>0</v>
      </c>
      <c r="P86" s="15" t="s">
        <v>12</v>
      </c>
      <c r="Q86" s="14" t="s">
        <v>51</v>
      </c>
      <c r="R86" s="2" t="s">
        <v>45</v>
      </c>
      <c r="S86" s="3">
        <v>83.6</v>
      </c>
      <c r="T86" s="3">
        <v>0.127</v>
      </c>
      <c r="U86" s="6" t="s">
        <v>114</v>
      </c>
      <c r="V86" s="2">
        <v>0</v>
      </c>
      <c r="W86" s="15" t="s">
        <v>9</v>
      </c>
      <c r="X86" s="14" t="s">
        <v>51</v>
      </c>
      <c r="Y86" s="2" t="s">
        <v>45</v>
      </c>
      <c r="Z86" s="3">
        <v>66.5</v>
      </c>
      <c r="AA86" s="3">
        <v>0.78400000000000003</v>
      </c>
      <c r="AB86" s="2">
        <v>1.8200000000000001E-2</v>
      </c>
      <c r="AC86" s="2">
        <v>0</v>
      </c>
      <c r="AD86" s="15" t="s">
        <v>11</v>
      </c>
      <c r="AE86" s="14" t="s">
        <v>51</v>
      </c>
      <c r="AF86" s="2" t="s">
        <v>45</v>
      </c>
      <c r="AG86" s="3">
        <v>70</v>
      </c>
      <c r="AH86" s="3">
        <v>1.6199999999999999E-2</v>
      </c>
      <c r="AI86" s="6" t="s">
        <v>115</v>
      </c>
      <c r="AJ86" s="2">
        <v>0</v>
      </c>
    </row>
    <row r="87" spans="1:36" ht="16.8" x14ac:dyDescent="0.25">
      <c r="A87" s="15" t="s">
        <v>11</v>
      </c>
      <c r="B87" s="16" t="s">
        <v>176</v>
      </c>
      <c r="C87" s="2" t="s">
        <v>23</v>
      </c>
      <c r="D87" s="14"/>
      <c r="E87" s="3">
        <v>196</v>
      </c>
      <c r="F87" s="3">
        <v>3.85E-2</v>
      </c>
      <c r="G87" s="6">
        <v>1.23E-2</v>
      </c>
      <c r="H87" s="2">
        <v>0</v>
      </c>
      <c r="I87" s="16" t="s">
        <v>52</v>
      </c>
      <c r="J87" s="14"/>
      <c r="K87" s="2" t="s">
        <v>38</v>
      </c>
      <c r="L87" s="3">
        <v>115</v>
      </c>
      <c r="M87" s="3">
        <v>6.7699999999999996E-2</v>
      </c>
      <c r="N87" s="2">
        <v>7.0000000000000007E-2</v>
      </c>
      <c r="O87" s="2">
        <v>0</v>
      </c>
      <c r="P87" s="15" t="s">
        <v>12</v>
      </c>
      <c r="Q87" s="14"/>
      <c r="R87" s="2" t="s">
        <v>38</v>
      </c>
      <c r="S87" s="3">
        <v>167</v>
      </c>
      <c r="T87" s="3">
        <v>0.255</v>
      </c>
      <c r="U87" s="6" t="s">
        <v>116</v>
      </c>
      <c r="V87" s="2">
        <v>0</v>
      </c>
      <c r="W87" s="15" t="s">
        <v>9</v>
      </c>
      <c r="X87" s="14"/>
      <c r="Y87" s="2" t="s">
        <v>38</v>
      </c>
      <c r="Z87" s="3">
        <v>133</v>
      </c>
      <c r="AA87" s="3">
        <v>1.57</v>
      </c>
      <c r="AB87" s="2">
        <v>3.6299999999999999E-2</v>
      </c>
      <c r="AC87" s="2">
        <v>0</v>
      </c>
      <c r="AD87" s="15" t="s">
        <v>11</v>
      </c>
      <c r="AE87" s="14"/>
      <c r="AF87" s="2" t="s">
        <v>38</v>
      </c>
      <c r="AG87" s="3">
        <v>140</v>
      </c>
      <c r="AH87" s="3">
        <v>3.2399999999999998E-2</v>
      </c>
      <c r="AI87" s="6" t="s">
        <v>117</v>
      </c>
      <c r="AJ87" s="2">
        <v>0</v>
      </c>
    </row>
    <row r="88" spans="1:36" ht="16.8" x14ac:dyDescent="0.25">
      <c r="A88" s="15" t="s">
        <v>11</v>
      </c>
      <c r="B88" s="16" t="s">
        <v>177</v>
      </c>
      <c r="C88" s="2" t="s">
        <v>24</v>
      </c>
      <c r="D88" s="14"/>
      <c r="E88" s="3">
        <v>197</v>
      </c>
      <c r="F88" s="3">
        <v>3.8899999999999997E-2</v>
      </c>
      <c r="G88" s="6">
        <v>1.24E-2</v>
      </c>
      <c r="H88" s="2">
        <v>0</v>
      </c>
      <c r="I88" s="16" t="s">
        <v>52</v>
      </c>
      <c r="J88" s="14"/>
      <c r="K88" s="2" t="s">
        <v>41</v>
      </c>
      <c r="L88" s="2">
        <f t="shared" ref="L88" si="24">VLOOKUP(J86,$C$2:$H$26,3,FALSE)</f>
        <v>172</v>
      </c>
      <c r="M88" s="2">
        <f t="shared" ref="M88" si="25">VLOOKUP(J86,$C$2:$H$26,4,FALSE)</f>
        <v>0.10199999999999999</v>
      </c>
      <c r="N88" s="2">
        <f t="shared" ref="N88" si="26">VLOOKUP(J86,$C$2:$H$26,5,FALSE)</f>
        <v>0.105</v>
      </c>
      <c r="O88" s="2">
        <v>0</v>
      </c>
      <c r="P88" s="15" t="s">
        <v>12</v>
      </c>
      <c r="Q88" s="14"/>
      <c r="R88" s="2" t="s">
        <v>41</v>
      </c>
      <c r="S88" s="2">
        <f>VLOOKUP(Q86,$C$27:$H$51,3,FALSE)</f>
        <v>251</v>
      </c>
      <c r="T88" s="3">
        <f>VLOOKUP(Q86,$C$27:$H$51,4,FALSE)</f>
        <v>0.38200000000000001</v>
      </c>
      <c r="U88" s="2">
        <f>VLOOKUP(Q86,$C$27:$H$51,5,FALSE)</f>
        <v>1.29E-2</v>
      </c>
      <c r="V88" s="2">
        <v>0</v>
      </c>
      <c r="W88" s="15" t="s">
        <v>9</v>
      </c>
      <c r="X88" s="14"/>
      <c r="Y88" s="2" t="s">
        <v>41</v>
      </c>
      <c r="Z88" s="3">
        <f>VLOOKUP(X86,$C$52:$H$76,3,FALSE)</f>
        <v>199</v>
      </c>
      <c r="AA88" s="3">
        <f>VLOOKUP(X86,$C$52:$H$76,4,FALSE)</f>
        <v>2.35</v>
      </c>
      <c r="AB88" s="2">
        <f>VLOOKUP(X86,$C$52:$H$76,5,FALSE)</f>
        <v>5.45E-2</v>
      </c>
      <c r="AC88" s="2">
        <v>0</v>
      </c>
      <c r="AD88" s="15" t="s">
        <v>11</v>
      </c>
      <c r="AE88" s="14"/>
      <c r="AF88" s="2" t="s">
        <v>41</v>
      </c>
      <c r="AG88" s="3">
        <f>VLOOKUP(AE86,$C$77:$H$101,3,FALSE)</f>
        <v>210</v>
      </c>
      <c r="AH88" s="3">
        <f>VLOOKUP(AE86,$C$77:$H$101,4,FALSE)</f>
        <v>4.8599999999999997E-2</v>
      </c>
      <c r="AI88" s="2">
        <f>VLOOKUP(AE86,$C$77:$H$101,5,FALSE)</f>
        <v>1.41E-2</v>
      </c>
      <c r="AJ88" s="2">
        <v>0</v>
      </c>
    </row>
    <row r="89" spans="1:36" ht="16.8" x14ac:dyDescent="0.25">
      <c r="A89" s="15" t="s">
        <v>11</v>
      </c>
      <c r="B89" s="16" t="s">
        <v>178</v>
      </c>
      <c r="C89" s="2" t="s">
        <v>25</v>
      </c>
      <c r="D89" s="14"/>
      <c r="E89" s="3">
        <v>198</v>
      </c>
      <c r="F89" s="3">
        <v>3.9399999999999998E-2</v>
      </c>
      <c r="G89" s="6">
        <v>1.2500000000000001E-2</v>
      </c>
      <c r="H89" s="2">
        <v>0</v>
      </c>
      <c r="I89" s="16" t="s">
        <v>52</v>
      </c>
      <c r="J89" s="14"/>
      <c r="K89" s="2" t="s">
        <v>42</v>
      </c>
      <c r="L89" s="5">
        <v>229</v>
      </c>
      <c r="M89" s="5">
        <v>0.13500000000000001</v>
      </c>
      <c r="N89" s="2">
        <v>0.14000000000000001</v>
      </c>
      <c r="O89" s="2">
        <v>0</v>
      </c>
      <c r="P89" s="15" t="s">
        <v>12</v>
      </c>
      <c r="Q89" s="14"/>
      <c r="R89" s="2" t="s">
        <v>42</v>
      </c>
      <c r="S89" s="5">
        <v>334</v>
      </c>
      <c r="T89" s="5">
        <v>0.51</v>
      </c>
      <c r="U89" s="2">
        <v>1.7299999999999999E-2</v>
      </c>
      <c r="V89" s="2">
        <v>0</v>
      </c>
      <c r="W89" s="15" t="s">
        <v>9</v>
      </c>
      <c r="X89" s="14"/>
      <c r="Y89" s="2" t="s">
        <v>42</v>
      </c>
      <c r="Z89" s="3">
        <v>266</v>
      </c>
      <c r="AA89" s="3">
        <v>3.14</v>
      </c>
      <c r="AB89" s="2">
        <v>7.2700000000000001E-2</v>
      </c>
      <c r="AC89" s="2">
        <v>0</v>
      </c>
      <c r="AD89" s="15" t="s">
        <v>11</v>
      </c>
      <c r="AE89" s="14"/>
      <c r="AF89" s="2" t="s">
        <v>42</v>
      </c>
      <c r="AG89" s="3">
        <v>280</v>
      </c>
      <c r="AH89" s="3">
        <v>6.4799999999999996E-2</v>
      </c>
      <c r="AI89" s="2">
        <v>1.8800000000000001E-2</v>
      </c>
      <c r="AJ89" s="2">
        <v>0</v>
      </c>
    </row>
    <row r="90" spans="1:36" ht="16.8" x14ac:dyDescent="0.25">
      <c r="A90" s="15" t="s">
        <v>11</v>
      </c>
      <c r="B90" s="16" t="s">
        <v>179</v>
      </c>
      <c r="C90" s="2" t="s">
        <v>26</v>
      </c>
      <c r="D90" s="14"/>
      <c r="E90" s="3">
        <v>199</v>
      </c>
      <c r="F90" s="3">
        <v>3.9800000000000002E-2</v>
      </c>
      <c r="G90" s="6">
        <v>1.26E-2</v>
      </c>
      <c r="H90" s="2">
        <v>0</v>
      </c>
      <c r="I90" s="16" t="s">
        <v>52</v>
      </c>
      <c r="J90" s="14"/>
      <c r="K90" s="2" t="s">
        <v>43</v>
      </c>
      <c r="L90" s="3">
        <v>287</v>
      </c>
      <c r="M90" s="3">
        <v>0.16900000000000001</v>
      </c>
      <c r="N90" s="2">
        <v>0.17499999999999999</v>
      </c>
      <c r="O90" s="2">
        <v>0</v>
      </c>
      <c r="P90" s="15" t="s">
        <v>12</v>
      </c>
      <c r="Q90" s="14"/>
      <c r="R90" s="2" t="s">
        <v>43</v>
      </c>
      <c r="S90" s="3">
        <v>418</v>
      </c>
      <c r="T90" s="3">
        <v>0.63700000000000001</v>
      </c>
      <c r="U90" s="2">
        <v>2.1600000000000001E-2</v>
      </c>
      <c r="V90" s="2">
        <v>0</v>
      </c>
      <c r="W90" s="15" t="s">
        <v>9</v>
      </c>
      <c r="X90" s="14"/>
      <c r="Y90" s="2" t="s">
        <v>43</v>
      </c>
      <c r="Z90" s="3">
        <v>332</v>
      </c>
      <c r="AA90" s="3">
        <v>3.92</v>
      </c>
      <c r="AB90" s="2">
        <v>9.0899999999999995E-2</v>
      </c>
      <c r="AC90" s="2">
        <v>0</v>
      </c>
      <c r="AD90" s="15" t="s">
        <v>11</v>
      </c>
      <c r="AE90" s="14"/>
      <c r="AF90" s="2" t="s">
        <v>43</v>
      </c>
      <c r="AG90" s="3">
        <v>350</v>
      </c>
      <c r="AH90" s="3">
        <v>8.1000000000000003E-2</v>
      </c>
      <c r="AI90" s="2">
        <v>2.35E-2</v>
      </c>
      <c r="AJ90" s="2">
        <v>0</v>
      </c>
    </row>
    <row r="91" spans="1:36" ht="16.8" x14ac:dyDescent="0.25">
      <c r="A91" s="15" t="s">
        <v>11</v>
      </c>
      <c r="B91" s="16" t="s">
        <v>180</v>
      </c>
      <c r="C91" s="2" t="s">
        <v>27</v>
      </c>
      <c r="D91" s="14"/>
      <c r="E91" s="3">
        <v>200</v>
      </c>
      <c r="F91" s="3">
        <v>4.0300000000000002E-2</v>
      </c>
      <c r="G91" s="6">
        <v>1.2699999999999999E-2</v>
      </c>
      <c r="H91" s="2">
        <v>0</v>
      </c>
      <c r="I91" s="16" t="s">
        <v>52</v>
      </c>
      <c r="J91" s="14"/>
      <c r="K91" s="2" t="s">
        <v>44</v>
      </c>
      <c r="L91" s="3">
        <v>344</v>
      </c>
      <c r="M91" s="3">
        <v>0.20300000000000001</v>
      </c>
      <c r="N91" s="2">
        <v>0.21</v>
      </c>
      <c r="O91" s="2">
        <v>0</v>
      </c>
      <c r="P91" s="15" t="s">
        <v>12</v>
      </c>
      <c r="Q91" s="14"/>
      <c r="R91" s="2" t="s">
        <v>44</v>
      </c>
      <c r="S91" s="3">
        <v>502</v>
      </c>
      <c r="T91" s="3">
        <v>0.76400000000000001</v>
      </c>
      <c r="U91" s="2">
        <v>2.5899999999999999E-2</v>
      </c>
      <c r="V91" s="2">
        <v>0</v>
      </c>
      <c r="W91" s="15" t="s">
        <v>9</v>
      </c>
      <c r="X91" s="14"/>
      <c r="Y91" s="2" t="s">
        <v>44</v>
      </c>
      <c r="Z91" s="3">
        <v>399</v>
      </c>
      <c r="AA91" s="3">
        <v>4.71</v>
      </c>
      <c r="AB91" s="2">
        <v>0.109</v>
      </c>
      <c r="AC91" s="2">
        <v>0</v>
      </c>
      <c r="AD91" s="15" t="s">
        <v>11</v>
      </c>
      <c r="AE91" s="14"/>
      <c r="AF91" s="2" t="s">
        <v>44</v>
      </c>
      <c r="AG91" s="3">
        <v>420</v>
      </c>
      <c r="AH91" s="3">
        <v>9.7299999999999998E-2</v>
      </c>
      <c r="AI91" s="2">
        <v>2.81E-2</v>
      </c>
      <c r="AJ91" s="2">
        <v>0</v>
      </c>
    </row>
    <row r="92" spans="1:36" ht="16.8" x14ac:dyDescent="0.25">
      <c r="A92" s="15" t="s">
        <v>11</v>
      </c>
      <c r="B92" s="16" t="s">
        <v>181</v>
      </c>
      <c r="C92" s="2" t="s">
        <v>28</v>
      </c>
      <c r="D92" s="14"/>
      <c r="E92" s="3">
        <v>201</v>
      </c>
      <c r="F92" s="3">
        <v>4.0800000000000003E-2</v>
      </c>
      <c r="G92" s="6">
        <v>1.29E-2</v>
      </c>
      <c r="H92" s="2">
        <v>0</v>
      </c>
      <c r="I92" s="9"/>
      <c r="J92" s="14"/>
      <c r="K92" s="2"/>
      <c r="L92" s="2"/>
      <c r="M92" s="2"/>
      <c r="N92" s="2"/>
      <c r="O92" s="2"/>
      <c r="P92" s="10"/>
      <c r="Q92" s="14"/>
      <c r="R92" s="2"/>
      <c r="S92" s="2"/>
      <c r="T92" s="3"/>
      <c r="U92" s="2"/>
      <c r="V92" s="2"/>
      <c r="W92" s="10"/>
      <c r="X92" s="14"/>
      <c r="Y92" s="2"/>
      <c r="Z92" s="3"/>
      <c r="AA92" s="3"/>
      <c r="AB92" s="2"/>
      <c r="AC92" s="2"/>
      <c r="AD92" s="10"/>
      <c r="AE92" s="14"/>
      <c r="AF92" s="2"/>
      <c r="AG92" s="3"/>
      <c r="AH92" s="3"/>
      <c r="AI92" s="2"/>
      <c r="AJ92" s="2"/>
    </row>
    <row r="93" spans="1:36" ht="16.8" x14ac:dyDescent="0.25">
      <c r="A93" s="15" t="s">
        <v>11</v>
      </c>
      <c r="B93" s="16" t="s">
        <v>182</v>
      </c>
      <c r="C93" s="2" t="s">
        <v>29</v>
      </c>
      <c r="D93" s="14"/>
      <c r="E93" s="3">
        <v>202</v>
      </c>
      <c r="F93" s="3">
        <v>4.1300000000000003E-2</v>
      </c>
      <c r="G93" s="6">
        <v>1.2999999999999999E-2</v>
      </c>
      <c r="H93" s="2">
        <v>0</v>
      </c>
      <c r="I93" s="9"/>
      <c r="J93" s="14"/>
      <c r="K93" s="2"/>
      <c r="L93" s="2"/>
      <c r="M93" s="2"/>
      <c r="N93" s="2"/>
      <c r="O93" s="2"/>
      <c r="P93" s="10"/>
      <c r="Q93" s="14"/>
      <c r="R93" s="2"/>
      <c r="S93" s="2"/>
      <c r="T93" s="3"/>
      <c r="U93" s="2"/>
      <c r="V93" s="2"/>
      <c r="W93" s="10"/>
      <c r="X93" s="14"/>
      <c r="Y93" s="2"/>
      <c r="Z93" s="3"/>
      <c r="AA93" s="3"/>
      <c r="AB93" s="2"/>
      <c r="AC93" s="2"/>
      <c r="AD93" s="10"/>
      <c r="AE93" s="14"/>
      <c r="AF93" s="2"/>
      <c r="AG93" s="3"/>
      <c r="AH93" s="3"/>
      <c r="AI93" s="2"/>
      <c r="AJ93" s="2"/>
    </row>
    <row r="94" spans="1:36" ht="16.8" x14ac:dyDescent="0.25">
      <c r="A94" s="15" t="s">
        <v>11</v>
      </c>
      <c r="B94" s="16" t="s">
        <v>183</v>
      </c>
      <c r="C94" s="2" t="s">
        <v>30</v>
      </c>
      <c r="D94" s="14"/>
      <c r="E94" s="3">
        <v>203</v>
      </c>
      <c r="F94" s="3">
        <v>4.2000000000000003E-2</v>
      </c>
      <c r="G94" s="6">
        <v>1.3100000000000001E-2</v>
      </c>
      <c r="H94" s="2">
        <v>0</v>
      </c>
      <c r="I94" s="9"/>
      <c r="J94" s="14"/>
      <c r="K94" s="2"/>
      <c r="L94" s="2"/>
      <c r="M94" s="2"/>
      <c r="N94" s="2"/>
      <c r="O94" s="2"/>
      <c r="P94" s="10"/>
      <c r="Q94" s="14"/>
      <c r="R94" s="2"/>
      <c r="S94" s="2"/>
      <c r="T94" s="3"/>
      <c r="U94" s="2"/>
      <c r="V94" s="2"/>
      <c r="W94" s="10"/>
      <c r="X94" s="14"/>
      <c r="Y94" s="2"/>
      <c r="Z94" s="3"/>
      <c r="AA94" s="3"/>
      <c r="AB94" s="2"/>
      <c r="AC94" s="2"/>
      <c r="AD94" s="10"/>
      <c r="AE94" s="14"/>
      <c r="AF94" s="2"/>
      <c r="AG94" s="3"/>
      <c r="AH94" s="3"/>
      <c r="AI94" s="2"/>
      <c r="AJ94" s="2"/>
    </row>
    <row r="95" spans="1:36" ht="16.8" x14ac:dyDescent="0.25">
      <c r="A95" s="15" t="s">
        <v>11</v>
      </c>
      <c r="B95" s="16" t="s">
        <v>184</v>
      </c>
      <c r="C95" s="2" t="s">
        <v>31</v>
      </c>
      <c r="D95" s="14"/>
      <c r="E95" s="3">
        <v>204</v>
      </c>
      <c r="F95" s="3">
        <v>4.2599999999999999E-2</v>
      </c>
      <c r="G95" s="6">
        <v>1.32E-2</v>
      </c>
      <c r="H95" s="2">
        <v>0</v>
      </c>
      <c r="I95" s="9"/>
      <c r="J95" s="14"/>
      <c r="K95" s="2"/>
      <c r="L95" s="2"/>
      <c r="M95" s="2"/>
      <c r="N95" s="2"/>
      <c r="O95" s="2"/>
      <c r="P95" s="10"/>
      <c r="Q95" s="14"/>
      <c r="R95" s="2"/>
      <c r="S95" s="2"/>
      <c r="T95" s="3"/>
      <c r="U95" s="2"/>
      <c r="V95" s="2"/>
      <c r="W95" s="10"/>
      <c r="X95" s="14"/>
      <c r="Y95" s="2"/>
      <c r="Z95" s="3"/>
      <c r="AA95" s="3"/>
      <c r="AB95" s="2"/>
      <c r="AC95" s="2"/>
      <c r="AD95" s="10"/>
      <c r="AE95" s="14"/>
      <c r="AF95" s="2"/>
      <c r="AG95" s="3"/>
      <c r="AH95" s="3"/>
      <c r="AI95" s="2"/>
      <c r="AJ95" s="2"/>
    </row>
    <row r="96" spans="1:36" ht="16.8" x14ac:dyDescent="0.25">
      <c r="A96" s="15" t="s">
        <v>11</v>
      </c>
      <c r="B96" s="16" t="s">
        <v>185</v>
      </c>
      <c r="C96" s="2" t="s">
        <v>32</v>
      </c>
      <c r="D96" s="14"/>
      <c r="E96" s="3">
        <v>205</v>
      </c>
      <c r="F96" s="3">
        <v>4.3400000000000001E-2</v>
      </c>
      <c r="G96" s="6">
        <v>1.34E-2</v>
      </c>
      <c r="H96" s="2">
        <v>0</v>
      </c>
      <c r="I96" s="9"/>
      <c r="J96" s="14"/>
      <c r="K96" s="2"/>
      <c r="L96" s="2"/>
      <c r="M96" s="2"/>
      <c r="N96" s="2"/>
      <c r="O96" s="2"/>
      <c r="P96" s="10"/>
      <c r="Q96" s="14"/>
      <c r="R96" s="2"/>
      <c r="S96" s="2"/>
      <c r="T96" s="3"/>
      <c r="U96" s="2"/>
      <c r="V96" s="2"/>
      <c r="W96" s="10"/>
      <c r="X96" s="14"/>
      <c r="Y96" s="2"/>
      <c r="Z96" s="3"/>
      <c r="AA96" s="3"/>
      <c r="AB96" s="2"/>
      <c r="AC96" s="2"/>
      <c r="AD96" s="10"/>
      <c r="AE96" s="14"/>
      <c r="AF96" s="2"/>
      <c r="AG96" s="3"/>
      <c r="AH96" s="3"/>
      <c r="AI96" s="2"/>
      <c r="AJ96" s="2"/>
    </row>
    <row r="97" spans="1:36" ht="16.8" x14ac:dyDescent="0.25">
      <c r="A97" s="15" t="s">
        <v>11</v>
      </c>
      <c r="B97" s="16" t="s">
        <v>186</v>
      </c>
      <c r="C97" s="2" t="s">
        <v>33</v>
      </c>
      <c r="D97" s="14"/>
      <c r="E97" s="3">
        <v>206</v>
      </c>
      <c r="F97" s="3">
        <v>4.4200000000000003E-2</v>
      </c>
      <c r="G97" s="6">
        <v>1.35E-2</v>
      </c>
      <c r="H97" s="2">
        <v>0</v>
      </c>
      <c r="I97" s="9"/>
      <c r="J97" s="14"/>
      <c r="K97" s="2"/>
      <c r="L97" s="2"/>
      <c r="M97" s="2"/>
      <c r="N97" s="2"/>
      <c r="O97" s="2"/>
      <c r="P97" s="10"/>
      <c r="Q97" s="14"/>
      <c r="R97" s="2"/>
      <c r="S97" s="2"/>
      <c r="T97" s="3"/>
      <c r="U97" s="2"/>
      <c r="V97" s="2"/>
      <c r="W97" s="10"/>
      <c r="X97" s="14"/>
      <c r="Y97" s="2"/>
      <c r="Z97" s="3"/>
      <c r="AA97" s="3"/>
      <c r="AB97" s="2"/>
      <c r="AC97" s="2"/>
      <c r="AD97" s="10"/>
      <c r="AE97" s="14"/>
      <c r="AF97" s="2"/>
      <c r="AG97" s="3"/>
      <c r="AH97" s="3"/>
      <c r="AI97" s="2"/>
      <c r="AJ97" s="2"/>
    </row>
    <row r="98" spans="1:36" ht="16.8" x14ac:dyDescent="0.25">
      <c r="A98" s="15" t="s">
        <v>11</v>
      </c>
      <c r="B98" s="16" t="s">
        <v>187</v>
      </c>
      <c r="C98" s="2" t="s">
        <v>34</v>
      </c>
      <c r="D98" s="14"/>
      <c r="E98" s="3">
        <v>207</v>
      </c>
      <c r="F98" s="3">
        <v>4.5100000000000001E-2</v>
      </c>
      <c r="G98" s="6">
        <v>1.3599999999999999E-2</v>
      </c>
      <c r="H98" s="2">
        <v>0</v>
      </c>
      <c r="I98" s="9"/>
      <c r="P98" s="10"/>
      <c r="W98" s="10"/>
      <c r="AD98" s="10"/>
    </row>
    <row r="99" spans="1:36" ht="16.8" x14ac:dyDescent="0.25">
      <c r="A99" s="15" t="s">
        <v>11</v>
      </c>
      <c r="B99" s="16" t="s">
        <v>188</v>
      </c>
      <c r="C99" s="2" t="s">
        <v>35</v>
      </c>
      <c r="D99" s="14"/>
      <c r="E99" s="3">
        <v>208</v>
      </c>
      <c r="F99" s="3">
        <v>4.6199999999999998E-2</v>
      </c>
      <c r="G99" s="6">
        <v>1.38E-2</v>
      </c>
      <c r="H99" s="2">
        <v>0</v>
      </c>
      <c r="I99" s="9"/>
      <c r="P99" s="10"/>
      <c r="W99" s="10"/>
      <c r="AD99" s="10"/>
    </row>
    <row r="100" spans="1:36" ht="16.8" x14ac:dyDescent="0.25">
      <c r="A100" s="15" t="s">
        <v>11</v>
      </c>
      <c r="B100" s="16" t="s">
        <v>189</v>
      </c>
      <c r="C100" s="2" t="s">
        <v>36</v>
      </c>
      <c r="D100" s="14"/>
      <c r="E100" s="3">
        <v>209</v>
      </c>
      <c r="F100" s="3">
        <v>4.7300000000000002E-2</v>
      </c>
      <c r="G100" s="6">
        <v>1.3899999999999999E-2</v>
      </c>
      <c r="H100" s="2">
        <v>0</v>
      </c>
      <c r="I100" s="9"/>
      <c r="P100" s="10"/>
      <c r="W100" s="10"/>
      <c r="AD100" s="10"/>
    </row>
    <row r="101" spans="1:36" ht="16.8" x14ac:dyDescent="0.25">
      <c r="A101" s="15" t="s">
        <v>11</v>
      </c>
      <c r="B101" s="16" t="s">
        <v>190</v>
      </c>
      <c r="C101" s="2" t="s">
        <v>37</v>
      </c>
      <c r="D101" s="14"/>
      <c r="E101" s="3">
        <v>210</v>
      </c>
      <c r="F101" s="3">
        <v>4.8599999999999997E-2</v>
      </c>
      <c r="G101" s="6">
        <v>1.41E-2</v>
      </c>
      <c r="H101" s="2">
        <v>0</v>
      </c>
      <c r="I101" s="9"/>
      <c r="P101" s="10"/>
      <c r="W101" s="10"/>
      <c r="AD101" s="10"/>
    </row>
    <row r="102" spans="1:36" ht="13.95" customHeight="1" x14ac:dyDescent="0.25">
      <c r="A102" s="10"/>
      <c r="B102" s="9"/>
      <c r="I102" s="9"/>
      <c r="P102" s="10"/>
      <c r="W102" s="10"/>
      <c r="AD102" s="10"/>
    </row>
    <row r="103" spans="1:36" x14ac:dyDescent="0.25">
      <c r="A103" s="10"/>
      <c r="B103" s="9"/>
      <c r="I103" s="9"/>
      <c r="P103" s="10"/>
      <c r="W103" s="10"/>
      <c r="AD103" s="10"/>
    </row>
    <row r="104" spans="1:36" x14ac:dyDescent="0.25">
      <c r="A104" s="10"/>
      <c r="B104" s="9"/>
      <c r="I104" s="9"/>
      <c r="J104" s="14"/>
      <c r="K104" s="2"/>
      <c r="L104" s="2"/>
      <c r="M104" s="2"/>
      <c r="N104" s="2"/>
      <c r="O104" s="2"/>
      <c r="P104" s="10"/>
      <c r="Q104" s="14"/>
      <c r="R104" s="2"/>
      <c r="S104" s="2"/>
      <c r="T104" s="3"/>
      <c r="U104" s="2"/>
      <c r="V104" s="2"/>
      <c r="W104" s="10"/>
      <c r="X104" s="14"/>
      <c r="Y104" s="2"/>
      <c r="Z104" s="3"/>
      <c r="AA104" s="3"/>
      <c r="AB104" s="2"/>
      <c r="AC104" s="2"/>
      <c r="AD104" s="10"/>
      <c r="AE104" s="14"/>
      <c r="AF104" s="2"/>
      <c r="AG104" s="3"/>
      <c r="AH104" s="3"/>
      <c r="AI104" s="2"/>
      <c r="AJ104" s="2"/>
    </row>
    <row r="105" spans="1:36" x14ac:dyDescent="0.25">
      <c r="A105" s="10"/>
      <c r="B105" s="9"/>
      <c r="I105" s="9"/>
      <c r="J105" s="14"/>
      <c r="K105" s="2"/>
      <c r="L105" s="2"/>
      <c r="M105" s="2"/>
      <c r="N105" s="2"/>
      <c r="O105" s="2"/>
      <c r="P105" s="10"/>
      <c r="Q105" s="14"/>
      <c r="R105" s="2"/>
      <c r="S105" s="2"/>
      <c r="T105" s="3"/>
      <c r="U105" s="2"/>
      <c r="V105" s="2"/>
      <c r="W105" s="10"/>
      <c r="X105" s="14"/>
      <c r="Y105" s="2"/>
      <c r="Z105" s="3"/>
      <c r="AA105" s="3"/>
      <c r="AB105" s="2"/>
      <c r="AC105" s="2"/>
      <c r="AD105" s="10"/>
      <c r="AE105" s="14"/>
      <c r="AF105" s="2"/>
      <c r="AG105" s="3"/>
      <c r="AH105" s="3"/>
      <c r="AI105" s="2"/>
      <c r="AJ105" s="2"/>
    </row>
    <row r="106" spans="1:36" x14ac:dyDescent="0.25">
      <c r="A106" s="10"/>
      <c r="B106" s="9"/>
      <c r="I106" s="9"/>
      <c r="J106" s="14"/>
      <c r="K106" s="2"/>
      <c r="L106" s="2"/>
      <c r="M106" s="2"/>
      <c r="N106" s="2"/>
      <c r="O106" s="2"/>
      <c r="P106" s="10"/>
      <c r="Q106" s="14"/>
      <c r="R106" s="2"/>
      <c r="S106" s="2"/>
      <c r="T106" s="3"/>
      <c r="U106" s="2"/>
      <c r="V106" s="2"/>
      <c r="W106" s="10"/>
      <c r="X106" s="14"/>
      <c r="Y106" s="2"/>
      <c r="Z106" s="3"/>
      <c r="AA106" s="3"/>
      <c r="AB106" s="2"/>
      <c r="AC106" s="2"/>
      <c r="AD106" s="10"/>
      <c r="AE106" s="14"/>
      <c r="AF106" s="2"/>
      <c r="AG106" s="3"/>
      <c r="AH106" s="3"/>
      <c r="AI106" s="2"/>
      <c r="AJ106" s="2"/>
    </row>
    <row r="107" spans="1:36" x14ac:dyDescent="0.25">
      <c r="A107" s="10"/>
      <c r="I107" s="9"/>
      <c r="J107" s="14"/>
      <c r="K107" s="2"/>
      <c r="L107" s="2"/>
      <c r="M107" s="2"/>
      <c r="N107" s="2"/>
      <c r="O107" s="2"/>
      <c r="P107" s="10"/>
      <c r="Q107" s="14"/>
      <c r="R107" s="2"/>
      <c r="S107" s="2"/>
      <c r="T107" s="3"/>
      <c r="U107" s="2"/>
      <c r="V107" s="2"/>
      <c r="W107" s="10"/>
      <c r="X107" s="14"/>
      <c r="Y107" s="2"/>
      <c r="Z107" s="3"/>
      <c r="AA107" s="3"/>
      <c r="AB107" s="2"/>
      <c r="AC107" s="2"/>
      <c r="AD107" s="10"/>
      <c r="AE107" s="14"/>
      <c r="AF107" s="2"/>
      <c r="AG107" s="3"/>
      <c r="AH107" s="3"/>
      <c r="AI107" s="2"/>
      <c r="AJ107" s="2"/>
    </row>
    <row r="108" spans="1:36" x14ac:dyDescent="0.25">
      <c r="A108" s="10"/>
      <c r="B108" s="9"/>
      <c r="C108" s="3"/>
      <c r="D108" s="3"/>
      <c r="E108" s="2"/>
      <c r="F108" s="2"/>
      <c r="I108" s="9"/>
      <c r="J108" s="14"/>
      <c r="K108" s="2"/>
      <c r="L108" s="2"/>
      <c r="M108" s="2"/>
      <c r="N108" s="2"/>
      <c r="O108" s="2"/>
      <c r="P108" s="10"/>
      <c r="Q108" s="14"/>
      <c r="R108" s="2"/>
      <c r="S108" s="2"/>
      <c r="T108" s="3"/>
      <c r="U108" s="2"/>
      <c r="V108" s="2"/>
      <c r="W108" s="10"/>
      <c r="X108" s="14"/>
      <c r="Y108" s="2"/>
      <c r="Z108" s="3"/>
      <c r="AA108" s="3"/>
      <c r="AB108" s="2"/>
      <c r="AC108" s="2"/>
      <c r="AD108" s="10"/>
      <c r="AE108" s="14"/>
      <c r="AF108" s="2"/>
      <c r="AG108" s="3"/>
      <c r="AH108" s="3"/>
      <c r="AI108" s="2"/>
      <c r="AJ108" s="2"/>
    </row>
    <row r="109" spans="1:36" x14ac:dyDescent="0.25">
      <c r="A109" s="10"/>
      <c r="B109" s="9"/>
      <c r="C109" s="3"/>
      <c r="D109" s="3"/>
      <c r="E109" s="2"/>
      <c r="F109" s="2"/>
      <c r="I109" s="9"/>
      <c r="J109" s="14"/>
      <c r="K109" s="2"/>
      <c r="L109" s="2"/>
      <c r="M109" s="2"/>
      <c r="N109" s="2"/>
      <c r="O109" s="2"/>
      <c r="P109" s="10"/>
      <c r="Q109" s="14"/>
      <c r="R109" s="2"/>
      <c r="S109" s="2"/>
      <c r="T109" s="3"/>
      <c r="U109" s="2"/>
      <c r="V109" s="2"/>
      <c r="W109" s="10"/>
      <c r="X109" s="14"/>
      <c r="Y109" s="2"/>
      <c r="Z109" s="3"/>
      <c r="AA109" s="3"/>
      <c r="AB109" s="2"/>
      <c r="AC109" s="2"/>
      <c r="AD109" s="10"/>
      <c r="AE109" s="14"/>
      <c r="AF109" s="2"/>
      <c r="AG109" s="3"/>
      <c r="AH109" s="3"/>
      <c r="AI109" s="2"/>
      <c r="AJ109" s="2"/>
    </row>
    <row r="110" spans="1:36" x14ac:dyDescent="0.25">
      <c r="A110" s="10"/>
      <c r="B110" s="9"/>
      <c r="C110" s="3"/>
      <c r="D110" s="3"/>
      <c r="E110" s="2"/>
      <c r="F110" s="2"/>
      <c r="I110" s="9"/>
      <c r="P110" s="10"/>
      <c r="W110" s="10"/>
      <c r="AD110" s="10"/>
    </row>
    <row r="111" spans="1:36" x14ac:dyDescent="0.25">
      <c r="A111" s="10"/>
      <c r="B111" s="9"/>
      <c r="C111" s="5"/>
      <c r="D111" s="5"/>
      <c r="E111" s="4"/>
      <c r="F111" s="2"/>
      <c r="I111" s="9"/>
      <c r="P111" s="10"/>
      <c r="W111" s="10"/>
      <c r="AD111" s="10"/>
    </row>
    <row r="112" spans="1:36" ht="13.5" customHeight="1" x14ac:dyDescent="0.25">
      <c r="A112" s="10"/>
      <c r="B112" s="9"/>
      <c r="C112" s="3"/>
      <c r="D112" s="3"/>
      <c r="E112" s="2"/>
      <c r="F112" s="2"/>
      <c r="I112" s="9"/>
      <c r="P112" s="10"/>
      <c r="W112" s="10"/>
      <c r="AD112" s="10"/>
    </row>
    <row r="113" spans="1:36" ht="13.5" customHeight="1" x14ac:dyDescent="0.25">
      <c r="A113" s="10"/>
      <c r="B113" s="9"/>
      <c r="C113" s="3"/>
      <c r="D113" s="3"/>
      <c r="E113" s="2"/>
      <c r="F113" s="2"/>
      <c r="I113" s="9"/>
      <c r="P113" s="10"/>
      <c r="W113" s="10"/>
      <c r="AD113" s="10"/>
    </row>
    <row r="114" spans="1:36" ht="13.5" customHeight="1" x14ac:dyDescent="0.25">
      <c r="A114" s="10"/>
      <c r="B114" s="9"/>
      <c r="I114" s="9"/>
      <c r="P114" s="10"/>
      <c r="W114" s="10"/>
      <c r="AD114" s="10"/>
    </row>
    <row r="115" spans="1:36" ht="13.5" customHeight="1" x14ac:dyDescent="0.25">
      <c r="A115" s="10"/>
      <c r="B115" s="9"/>
      <c r="I115" s="9"/>
      <c r="P115" s="10"/>
      <c r="W115" s="10"/>
      <c r="AD115" s="10"/>
    </row>
    <row r="116" spans="1:36" ht="13.5" customHeight="1" x14ac:dyDescent="0.25">
      <c r="A116" s="10"/>
      <c r="B116" s="9"/>
      <c r="I116" s="9"/>
      <c r="J116" s="14"/>
      <c r="K116" s="2"/>
      <c r="L116" s="2"/>
      <c r="M116" s="2"/>
      <c r="N116" s="2"/>
      <c r="O116" s="2"/>
      <c r="P116" s="10"/>
      <c r="Q116" s="14"/>
      <c r="R116" s="2"/>
      <c r="S116" s="2"/>
      <c r="T116" s="3"/>
      <c r="U116" s="2"/>
      <c r="V116" s="2"/>
      <c r="W116" s="10"/>
      <c r="X116" s="14"/>
      <c r="Y116" s="2"/>
      <c r="Z116" s="3"/>
      <c r="AA116" s="3"/>
      <c r="AB116" s="2"/>
      <c r="AC116" s="2"/>
      <c r="AD116" s="10"/>
      <c r="AE116" s="14"/>
      <c r="AF116" s="2"/>
      <c r="AG116" s="3"/>
      <c r="AH116" s="3"/>
      <c r="AI116" s="2"/>
      <c r="AJ116" s="2"/>
    </row>
    <row r="117" spans="1:36" ht="13.5" customHeight="1" x14ac:dyDescent="0.25">
      <c r="A117" s="10"/>
      <c r="B117" s="9"/>
      <c r="I117" s="9"/>
      <c r="J117" s="14"/>
      <c r="K117" s="2"/>
      <c r="L117" s="2"/>
      <c r="M117" s="2"/>
      <c r="N117" s="2"/>
      <c r="O117" s="2"/>
      <c r="P117" s="10"/>
      <c r="Q117" s="14"/>
      <c r="R117" s="2"/>
      <c r="S117" s="2"/>
      <c r="T117" s="3"/>
      <c r="U117" s="2"/>
      <c r="V117" s="2"/>
      <c r="W117" s="10"/>
      <c r="X117" s="14"/>
      <c r="Y117" s="2"/>
      <c r="Z117" s="3"/>
      <c r="AA117" s="3"/>
      <c r="AB117" s="2"/>
      <c r="AC117" s="2"/>
      <c r="AD117" s="10"/>
      <c r="AE117" s="14"/>
      <c r="AF117" s="2"/>
      <c r="AG117" s="3"/>
      <c r="AH117" s="3"/>
      <c r="AI117" s="2"/>
      <c r="AJ117" s="2"/>
    </row>
    <row r="118" spans="1:36" ht="13.5" customHeight="1" x14ac:dyDescent="0.25">
      <c r="A118" s="10"/>
      <c r="B118" s="9"/>
      <c r="I118" s="9"/>
      <c r="J118" s="14"/>
      <c r="K118" s="2"/>
      <c r="L118" s="2"/>
      <c r="M118" s="2"/>
      <c r="N118" s="2"/>
      <c r="O118" s="2"/>
      <c r="P118" s="10"/>
      <c r="Q118" s="14"/>
      <c r="R118" s="2"/>
      <c r="S118" s="2"/>
      <c r="T118" s="3"/>
      <c r="U118" s="2"/>
      <c r="V118" s="2"/>
      <c r="W118" s="10"/>
      <c r="X118" s="14"/>
      <c r="Y118" s="2"/>
      <c r="Z118" s="3"/>
      <c r="AA118" s="3"/>
      <c r="AB118" s="2"/>
      <c r="AC118" s="2"/>
      <c r="AD118" s="10"/>
      <c r="AE118" s="14"/>
      <c r="AF118" s="2"/>
      <c r="AG118" s="3"/>
      <c r="AH118" s="3"/>
      <c r="AI118" s="2"/>
      <c r="AJ118" s="2"/>
    </row>
    <row r="119" spans="1:36" ht="13.5" customHeight="1" x14ac:dyDescent="0.25">
      <c r="A119" s="10"/>
      <c r="B119" s="9"/>
      <c r="I119" s="9"/>
      <c r="J119" s="14"/>
      <c r="K119" s="2"/>
      <c r="L119" s="2"/>
      <c r="M119" s="2"/>
      <c r="N119" s="2"/>
      <c r="O119" s="2"/>
      <c r="P119" s="10"/>
      <c r="Q119" s="14"/>
      <c r="R119" s="2"/>
      <c r="S119" s="2"/>
      <c r="T119" s="3"/>
      <c r="U119" s="2"/>
      <c r="V119" s="2"/>
      <c r="W119" s="10"/>
      <c r="X119" s="14"/>
      <c r="Y119" s="2"/>
      <c r="Z119" s="3"/>
      <c r="AA119" s="3"/>
      <c r="AB119" s="2"/>
      <c r="AC119" s="2"/>
      <c r="AD119" s="10"/>
      <c r="AE119" s="14"/>
      <c r="AF119" s="2"/>
      <c r="AG119" s="3"/>
      <c r="AH119" s="3"/>
      <c r="AI119" s="2"/>
      <c r="AJ119" s="2"/>
    </row>
    <row r="120" spans="1:36" ht="13.5" customHeight="1" x14ac:dyDescent="0.25">
      <c r="A120" s="10"/>
      <c r="B120" s="9"/>
      <c r="I120" s="9"/>
      <c r="J120" s="14"/>
      <c r="K120" s="2"/>
      <c r="L120" s="2"/>
      <c r="M120" s="2"/>
      <c r="N120" s="2"/>
      <c r="O120" s="2"/>
      <c r="P120" s="10"/>
      <c r="Q120" s="14"/>
      <c r="R120" s="2"/>
      <c r="S120" s="2"/>
      <c r="T120" s="3"/>
      <c r="U120" s="2"/>
      <c r="V120" s="2"/>
      <c r="W120" s="10"/>
      <c r="X120" s="14"/>
      <c r="Y120" s="2"/>
      <c r="Z120" s="3"/>
      <c r="AA120" s="3"/>
      <c r="AB120" s="2"/>
      <c r="AC120" s="2"/>
      <c r="AD120" s="10"/>
      <c r="AE120" s="14"/>
      <c r="AF120" s="2"/>
      <c r="AG120" s="3"/>
      <c r="AH120" s="3"/>
      <c r="AI120" s="2"/>
      <c r="AJ120" s="2"/>
    </row>
    <row r="121" spans="1:36" ht="13.5" customHeight="1" x14ac:dyDescent="0.25">
      <c r="A121" s="10"/>
      <c r="B121" s="9"/>
      <c r="I121" s="9"/>
      <c r="J121" s="14"/>
      <c r="K121" s="2"/>
      <c r="L121" s="2"/>
      <c r="M121" s="2"/>
      <c r="N121" s="2"/>
      <c r="O121" s="2"/>
      <c r="P121" s="10"/>
      <c r="Q121" s="14"/>
      <c r="R121" s="2"/>
      <c r="S121" s="2"/>
      <c r="T121" s="3"/>
      <c r="U121" s="2"/>
      <c r="V121" s="2"/>
      <c r="W121" s="10"/>
      <c r="X121" s="14"/>
      <c r="Y121" s="2"/>
      <c r="Z121" s="3"/>
      <c r="AA121" s="3"/>
      <c r="AB121" s="2"/>
      <c r="AC121" s="2"/>
      <c r="AD121" s="10"/>
      <c r="AE121" s="14"/>
      <c r="AF121" s="2"/>
      <c r="AG121" s="3"/>
      <c r="AH121" s="3"/>
      <c r="AI121" s="2"/>
      <c r="AJ121" s="2"/>
    </row>
    <row r="122" spans="1:36" ht="13.5" customHeight="1" x14ac:dyDescent="0.25">
      <c r="A122" s="10"/>
      <c r="B122" s="9"/>
      <c r="I122" s="9"/>
      <c r="J122" s="14"/>
      <c r="K122" s="2"/>
      <c r="L122" s="2"/>
      <c r="M122" s="2"/>
      <c r="N122" s="2"/>
      <c r="O122" s="2"/>
      <c r="P122" s="10"/>
      <c r="W122" s="10"/>
      <c r="AD122" s="10"/>
    </row>
    <row r="123" spans="1:36" ht="13.5" customHeight="1" x14ac:dyDescent="0.25">
      <c r="A123" s="10"/>
      <c r="B123" s="9"/>
      <c r="I123" s="9"/>
      <c r="J123" s="14"/>
      <c r="K123" s="2"/>
      <c r="L123" s="2"/>
      <c r="M123" s="2"/>
      <c r="N123" s="2"/>
      <c r="O123" s="2"/>
      <c r="P123" s="10"/>
      <c r="W123" s="10"/>
      <c r="AD123" s="10"/>
    </row>
    <row r="124" spans="1:36" ht="13.5" customHeight="1" x14ac:dyDescent="0.25">
      <c r="A124" s="10"/>
      <c r="B124" s="9"/>
      <c r="I124" s="9"/>
      <c r="J124" s="14"/>
      <c r="K124" s="2"/>
      <c r="L124" s="2"/>
      <c r="M124" s="2"/>
      <c r="N124" s="2"/>
      <c r="O124" s="2"/>
      <c r="P124" s="10"/>
      <c r="W124" s="10"/>
      <c r="AD124" s="10"/>
    </row>
    <row r="125" spans="1:36" ht="13.5" customHeight="1" x14ac:dyDescent="0.25">
      <c r="A125" s="10"/>
      <c r="B125" s="9"/>
      <c r="I125" s="9"/>
      <c r="J125" s="14"/>
      <c r="K125" s="2"/>
      <c r="L125" s="2"/>
      <c r="M125" s="2"/>
      <c r="N125" s="2"/>
      <c r="O125" s="2"/>
      <c r="P125" s="10"/>
      <c r="W125" s="10"/>
      <c r="AD125" s="10"/>
    </row>
    <row r="126" spans="1:36" ht="13.5" customHeight="1" x14ac:dyDescent="0.25">
      <c r="A126" s="10"/>
      <c r="B126" s="9"/>
      <c r="I126" s="9"/>
      <c r="J126" s="14"/>
      <c r="K126" s="2"/>
      <c r="L126" s="2"/>
      <c r="M126" s="2"/>
      <c r="N126" s="2"/>
      <c r="O126" s="2"/>
      <c r="P126" s="10"/>
      <c r="W126" s="10"/>
      <c r="AD126" s="10"/>
    </row>
    <row r="127" spans="1:36" ht="13.5" customHeight="1" x14ac:dyDescent="0.25">
      <c r="A127" s="10"/>
      <c r="B127" s="9"/>
      <c r="I127" s="9"/>
      <c r="J127" s="14"/>
      <c r="K127" s="2"/>
      <c r="L127" s="2"/>
      <c r="M127" s="2"/>
      <c r="N127" s="2"/>
      <c r="O127" s="2"/>
      <c r="P127" s="10"/>
      <c r="W127" s="10"/>
      <c r="AD127" s="10"/>
    </row>
    <row r="128" spans="1:36" ht="13.5" customHeight="1" x14ac:dyDescent="0.25">
      <c r="A128" s="10"/>
      <c r="B128" s="9"/>
      <c r="I128" s="9"/>
      <c r="J128" s="14"/>
      <c r="K128" s="2"/>
      <c r="L128" s="2"/>
      <c r="M128" s="2"/>
      <c r="N128" s="2"/>
      <c r="O128" s="2"/>
      <c r="P128" s="10"/>
      <c r="Q128" s="14"/>
      <c r="R128" s="2"/>
      <c r="S128" s="2"/>
      <c r="T128" s="3"/>
      <c r="U128" s="2"/>
      <c r="V128" s="2"/>
      <c r="W128" s="10"/>
      <c r="X128" s="14"/>
      <c r="Y128" s="2"/>
      <c r="Z128" s="3"/>
      <c r="AA128" s="3"/>
      <c r="AB128" s="2"/>
      <c r="AC128" s="2"/>
      <c r="AD128" s="10"/>
      <c r="AE128" s="14"/>
      <c r="AF128" s="2"/>
      <c r="AG128" s="3"/>
      <c r="AH128" s="3"/>
      <c r="AI128" s="2"/>
      <c r="AJ128" s="2"/>
    </row>
    <row r="129" spans="1:36" ht="13.5" customHeight="1" x14ac:dyDescent="0.25">
      <c r="A129" s="10"/>
      <c r="B129" s="9"/>
      <c r="I129" s="9"/>
      <c r="J129" s="14"/>
      <c r="K129" s="2"/>
      <c r="L129" s="2"/>
      <c r="M129" s="2"/>
      <c r="N129" s="2"/>
      <c r="O129" s="2"/>
      <c r="P129" s="10"/>
      <c r="Q129" s="14"/>
      <c r="R129" s="2"/>
      <c r="S129" s="2"/>
      <c r="T129" s="3"/>
      <c r="U129" s="2"/>
      <c r="V129" s="2"/>
      <c r="W129" s="10"/>
      <c r="X129" s="14"/>
      <c r="Y129" s="2"/>
      <c r="Z129" s="3"/>
      <c r="AA129" s="3"/>
      <c r="AB129" s="2"/>
      <c r="AC129" s="2"/>
      <c r="AD129" s="10"/>
      <c r="AE129" s="14"/>
      <c r="AF129" s="2"/>
      <c r="AG129" s="3"/>
      <c r="AH129" s="3"/>
      <c r="AI129" s="2"/>
      <c r="AJ129" s="2"/>
    </row>
    <row r="130" spans="1:36" ht="13.5" customHeight="1" x14ac:dyDescent="0.25">
      <c r="A130" s="10"/>
      <c r="B130" s="9"/>
      <c r="I130" s="9"/>
      <c r="J130" s="14"/>
      <c r="K130" s="2"/>
      <c r="L130" s="2"/>
      <c r="M130" s="2"/>
      <c r="N130" s="2"/>
      <c r="O130" s="2"/>
      <c r="P130" s="10"/>
      <c r="Q130" s="14"/>
      <c r="R130" s="2"/>
      <c r="S130" s="2"/>
      <c r="T130" s="3"/>
      <c r="U130" s="2"/>
      <c r="V130" s="2"/>
      <c r="W130" s="10"/>
      <c r="X130" s="14"/>
      <c r="Y130" s="2"/>
      <c r="Z130" s="3"/>
      <c r="AA130" s="3"/>
      <c r="AB130" s="2"/>
      <c r="AC130" s="2"/>
      <c r="AD130" s="10"/>
      <c r="AE130" s="14"/>
      <c r="AF130" s="2"/>
      <c r="AG130" s="3"/>
      <c r="AH130" s="3"/>
      <c r="AI130" s="2"/>
      <c r="AJ130" s="2"/>
    </row>
    <row r="131" spans="1:36" ht="13.5" customHeight="1" x14ac:dyDescent="0.25">
      <c r="A131" s="10"/>
      <c r="B131" s="9"/>
      <c r="I131" s="9"/>
      <c r="J131" s="14"/>
      <c r="K131" s="2"/>
      <c r="L131" s="2"/>
      <c r="M131" s="2"/>
      <c r="N131" s="2"/>
      <c r="O131" s="2"/>
      <c r="P131" s="10"/>
      <c r="Q131" s="14"/>
      <c r="R131" s="2"/>
      <c r="S131" s="2"/>
      <c r="T131" s="3"/>
      <c r="U131" s="2"/>
      <c r="V131" s="2"/>
      <c r="W131" s="10"/>
      <c r="X131" s="14"/>
      <c r="Y131" s="2"/>
      <c r="Z131" s="3"/>
      <c r="AA131" s="3"/>
      <c r="AB131" s="2"/>
      <c r="AC131" s="2"/>
      <c r="AD131" s="10"/>
      <c r="AE131" s="14"/>
      <c r="AF131" s="2"/>
      <c r="AG131" s="3"/>
      <c r="AH131" s="3"/>
      <c r="AI131" s="2"/>
      <c r="AJ131" s="2"/>
    </row>
    <row r="132" spans="1:36" ht="13.5" customHeight="1" x14ac:dyDescent="0.25">
      <c r="A132" s="10"/>
      <c r="B132" s="9"/>
      <c r="I132" s="9"/>
      <c r="J132" s="14"/>
      <c r="K132" s="2"/>
      <c r="L132" s="2"/>
      <c r="M132" s="2"/>
      <c r="N132" s="2"/>
      <c r="O132" s="2"/>
      <c r="P132" s="10"/>
      <c r="Q132" s="14"/>
      <c r="R132" s="2"/>
      <c r="S132" s="2"/>
      <c r="T132" s="3"/>
      <c r="U132" s="2"/>
      <c r="V132" s="2"/>
      <c r="W132" s="10"/>
      <c r="X132" s="14"/>
      <c r="Y132" s="2"/>
      <c r="Z132" s="3"/>
      <c r="AA132" s="3"/>
      <c r="AB132" s="2"/>
      <c r="AC132" s="2"/>
      <c r="AD132" s="10"/>
      <c r="AE132" s="14"/>
      <c r="AF132" s="2"/>
      <c r="AG132" s="3"/>
      <c r="AH132" s="3"/>
      <c r="AI132" s="2"/>
      <c r="AJ132" s="2"/>
    </row>
    <row r="133" spans="1:36" ht="13.5" customHeight="1" x14ac:dyDescent="0.25">
      <c r="A133" s="10"/>
      <c r="B133" s="9"/>
      <c r="I133" s="9"/>
      <c r="J133" s="14"/>
      <c r="K133" s="2"/>
      <c r="L133" s="2"/>
      <c r="M133" s="2"/>
      <c r="N133" s="2"/>
      <c r="O133" s="2"/>
      <c r="P133" s="10"/>
      <c r="Q133" s="14"/>
      <c r="R133" s="2"/>
      <c r="S133" s="2"/>
      <c r="T133" s="3"/>
      <c r="U133" s="2"/>
      <c r="V133" s="2"/>
      <c r="W133" s="10"/>
      <c r="X133" s="14"/>
      <c r="Y133" s="2"/>
      <c r="Z133" s="3"/>
      <c r="AA133" s="3"/>
      <c r="AB133" s="2"/>
      <c r="AC133" s="2"/>
      <c r="AD133" s="10"/>
      <c r="AE133" s="14"/>
      <c r="AF133" s="2"/>
      <c r="AG133" s="3"/>
      <c r="AH133" s="3"/>
      <c r="AI133" s="2"/>
      <c r="AJ133" s="2"/>
    </row>
    <row r="134" spans="1:36" ht="13.5" customHeight="1" x14ac:dyDescent="0.25">
      <c r="A134" s="10"/>
      <c r="B134" s="9"/>
      <c r="I134" s="9"/>
      <c r="J134" s="14"/>
      <c r="K134" s="2"/>
      <c r="L134" s="2"/>
      <c r="M134" s="2"/>
      <c r="N134" s="2"/>
      <c r="O134" s="2"/>
      <c r="P134" s="10"/>
      <c r="W134" s="10"/>
      <c r="AD134" s="10"/>
    </row>
    <row r="135" spans="1:36" ht="13.5" customHeight="1" x14ac:dyDescent="0.25">
      <c r="A135" s="10"/>
      <c r="B135" s="9"/>
      <c r="I135" s="9"/>
      <c r="J135" s="14"/>
      <c r="K135" s="2"/>
      <c r="L135" s="2"/>
      <c r="M135" s="2"/>
      <c r="N135" s="2"/>
      <c r="O135" s="2"/>
      <c r="P135" s="10"/>
      <c r="W135" s="10"/>
      <c r="AD135" s="10"/>
    </row>
    <row r="136" spans="1:36" ht="13.5" customHeight="1" x14ac:dyDescent="0.25">
      <c r="A136" s="10"/>
      <c r="B136" s="9"/>
      <c r="I136" s="9"/>
      <c r="J136" s="14"/>
      <c r="K136" s="2"/>
      <c r="L136" s="2"/>
      <c r="M136" s="2"/>
      <c r="N136" s="2"/>
      <c r="O136" s="2"/>
      <c r="P136" s="10"/>
      <c r="W136" s="10"/>
      <c r="AD136" s="10"/>
    </row>
    <row r="137" spans="1:36" ht="13.5" customHeight="1" x14ac:dyDescent="0.25">
      <c r="A137" s="10"/>
      <c r="B137" s="9"/>
      <c r="I137" s="9"/>
      <c r="J137" s="14"/>
      <c r="K137" s="2"/>
      <c r="L137" s="2"/>
      <c r="M137" s="2"/>
      <c r="N137" s="2"/>
      <c r="O137" s="2"/>
      <c r="P137" s="10"/>
      <c r="W137" s="10"/>
      <c r="AD137" s="10"/>
    </row>
    <row r="138" spans="1:36" ht="13.5" customHeight="1" x14ac:dyDescent="0.25">
      <c r="A138" s="10"/>
      <c r="B138" s="9"/>
      <c r="I138" s="9"/>
      <c r="J138" s="14"/>
      <c r="K138" s="2"/>
      <c r="L138" s="2"/>
      <c r="M138" s="2"/>
      <c r="N138" s="2"/>
      <c r="O138" s="2"/>
      <c r="P138" s="10"/>
      <c r="W138" s="10"/>
      <c r="AD138" s="10"/>
    </row>
    <row r="139" spans="1:36" ht="13.5" customHeight="1" x14ac:dyDescent="0.25">
      <c r="A139" s="10"/>
      <c r="B139" s="9"/>
      <c r="I139" s="9"/>
      <c r="J139" s="14"/>
      <c r="K139" s="2"/>
      <c r="L139" s="2"/>
      <c r="M139" s="2"/>
      <c r="N139" s="2"/>
      <c r="O139" s="2"/>
      <c r="P139" s="10"/>
      <c r="W139" s="10"/>
      <c r="AD139" s="10"/>
    </row>
    <row r="140" spans="1:36" ht="13.5" customHeight="1" x14ac:dyDescent="0.25">
      <c r="A140" s="10"/>
      <c r="B140" s="9"/>
      <c r="I140" s="9"/>
      <c r="J140" s="14"/>
      <c r="K140" s="2"/>
      <c r="L140" s="2"/>
      <c r="M140" s="2"/>
      <c r="N140" s="2"/>
      <c r="O140" s="2"/>
      <c r="P140" s="10"/>
      <c r="Q140" s="14"/>
      <c r="R140" s="2"/>
      <c r="S140" s="2"/>
      <c r="T140" s="3"/>
      <c r="U140" s="2"/>
      <c r="V140" s="2"/>
      <c r="W140" s="10"/>
      <c r="X140" s="14"/>
      <c r="Y140" s="2"/>
      <c r="Z140" s="3"/>
      <c r="AA140" s="3"/>
      <c r="AB140" s="2"/>
      <c r="AC140" s="2"/>
      <c r="AD140" s="10"/>
      <c r="AE140" s="14"/>
      <c r="AF140" s="2"/>
      <c r="AG140" s="3"/>
      <c r="AH140" s="3"/>
      <c r="AI140" s="2"/>
      <c r="AJ140" s="2"/>
    </row>
    <row r="141" spans="1:36" ht="13.5" customHeight="1" x14ac:dyDescent="0.25">
      <c r="A141" s="10"/>
      <c r="B141" s="9"/>
      <c r="I141" s="9"/>
      <c r="J141" s="14"/>
      <c r="K141" s="2"/>
      <c r="L141" s="2"/>
      <c r="M141" s="2"/>
      <c r="N141" s="2"/>
      <c r="O141" s="2"/>
      <c r="P141" s="10"/>
      <c r="Q141" s="14"/>
      <c r="R141" s="2"/>
      <c r="S141" s="2"/>
      <c r="T141" s="3"/>
      <c r="U141" s="2"/>
      <c r="V141" s="2"/>
      <c r="W141" s="10"/>
      <c r="X141" s="14"/>
      <c r="Y141" s="2"/>
      <c r="Z141" s="3"/>
      <c r="AA141" s="3"/>
      <c r="AB141" s="2"/>
      <c r="AC141" s="2"/>
      <c r="AD141" s="10"/>
      <c r="AE141" s="14"/>
      <c r="AF141" s="2"/>
      <c r="AG141" s="3"/>
      <c r="AH141" s="3"/>
      <c r="AI141" s="2"/>
      <c r="AJ141" s="2"/>
    </row>
    <row r="142" spans="1:36" ht="13.5" customHeight="1" x14ac:dyDescent="0.25">
      <c r="I142" s="9"/>
      <c r="J142" s="14"/>
      <c r="K142" s="2"/>
      <c r="L142" s="2"/>
      <c r="M142" s="2"/>
      <c r="N142" s="2"/>
      <c r="O142" s="2"/>
      <c r="P142" s="10"/>
      <c r="Q142" s="14"/>
      <c r="R142" s="2"/>
      <c r="S142" s="2"/>
      <c r="T142" s="3"/>
      <c r="U142" s="2"/>
      <c r="V142" s="2"/>
      <c r="W142" s="10"/>
      <c r="X142" s="14"/>
      <c r="Y142" s="2"/>
      <c r="Z142" s="3"/>
      <c r="AA142" s="3"/>
      <c r="AB142" s="2"/>
      <c r="AC142" s="2"/>
      <c r="AD142" s="10"/>
      <c r="AE142" s="14"/>
      <c r="AF142" s="2"/>
      <c r="AG142" s="3"/>
      <c r="AH142" s="3"/>
      <c r="AI142" s="2"/>
      <c r="AJ142" s="2"/>
    </row>
    <row r="143" spans="1:36" ht="13.5" customHeight="1" x14ac:dyDescent="0.25">
      <c r="I143" s="9"/>
      <c r="J143" s="14"/>
      <c r="K143" s="2"/>
      <c r="L143" s="2"/>
      <c r="M143" s="2"/>
      <c r="N143" s="2"/>
      <c r="O143" s="2"/>
      <c r="P143" s="10"/>
      <c r="Q143" s="14"/>
      <c r="R143" s="2"/>
      <c r="S143" s="2"/>
      <c r="T143" s="3"/>
      <c r="U143" s="2"/>
      <c r="V143" s="2"/>
      <c r="W143" s="10"/>
      <c r="X143" s="14"/>
      <c r="Y143" s="2"/>
      <c r="Z143" s="3"/>
      <c r="AA143" s="3"/>
      <c r="AB143" s="2"/>
      <c r="AC143" s="2"/>
      <c r="AD143" s="10"/>
      <c r="AE143" s="14"/>
      <c r="AF143" s="2"/>
      <c r="AG143" s="3"/>
      <c r="AH143" s="3"/>
      <c r="AI143" s="2"/>
      <c r="AJ143" s="2"/>
    </row>
    <row r="144" spans="1:36" ht="13.5" customHeight="1" x14ac:dyDescent="0.25">
      <c r="I144" s="9"/>
      <c r="J144" s="14"/>
      <c r="K144" s="2"/>
      <c r="L144" s="2"/>
      <c r="M144" s="2"/>
      <c r="N144" s="2"/>
      <c r="O144" s="2"/>
      <c r="P144" s="10"/>
      <c r="Q144" s="14"/>
      <c r="R144" s="2"/>
      <c r="S144" s="2"/>
      <c r="T144" s="3"/>
      <c r="U144" s="2"/>
      <c r="V144" s="2"/>
      <c r="W144" s="10"/>
      <c r="X144" s="14"/>
      <c r="Y144" s="2"/>
      <c r="Z144" s="3"/>
      <c r="AA144" s="3"/>
      <c r="AB144" s="2"/>
      <c r="AC144" s="2"/>
      <c r="AD144" s="10"/>
      <c r="AE144" s="14"/>
      <c r="AF144" s="2"/>
      <c r="AG144" s="3"/>
      <c r="AH144" s="3"/>
      <c r="AI144" s="2"/>
      <c r="AJ144" s="2"/>
    </row>
    <row r="145" spans="9:36" ht="13.5" customHeight="1" x14ac:dyDescent="0.25">
      <c r="I145" s="9"/>
      <c r="J145" s="14"/>
      <c r="K145" s="2"/>
      <c r="L145" s="2"/>
      <c r="M145" s="2"/>
      <c r="N145" s="2"/>
      <c r="O145" s="2"/>
      <c r="P145" s="10"/>
      <c r="Q145" s="14"/>
      <c r="R145" s="2"/>
      <c r="S145" s="2"/>
      <c r="T145" s="3"/>
      <c r="U145" s="2"/>
      <c r="V145" s="2"/>
      <c r="W145" s="10"/>
      <c r="X145" s="14"/>
      <c r="Y145" s="2"/>
      <c r="Z145" s="3"/>
      <c r="AA145" s="3"/>
      <c r="AB145" s="2"/>
      <c r="AC145" s="2"/>
      <c r="AD145" s="10"/>
      <c r="AE145" s="14"/>
      <c r="AF145" s="2"/>
      <c r="AG145" s="3"/>
      <c r="AH145" s="3"/>
      <c r="AI145" s="2"/>
      <c r="AJ145" s="2"/>
    </row>
    <row r="146" spans="9:36" ht="13.5" customHeight="1" x14ac:dyDescent="0.25">
      <c r="I146" s="9"/>
      <c r="J146" s="14"/>
      <c r="K146" s="2"/>
      <c r="L146" s="2"/>
      <c r="M146" s="2"/>
      <c r="N146" s="2"/>
      <c r="O146" s="2"/>
      <c r="P146" s="10"/>
      <c r="W146" s="10"/>
      <c r="AD146" s="10"/>
    </row>
    <row r="147" spans="9:36" ht="13.5" customHeight="1" x14ac:dyDescent="0.25">
      <c r="I147" s="9"/>
      <c r="J147" s="14"/>
      <c r="K147" s="2"/>
      <c r="L147" s="2"/>
      <c r="M147" s="2"/>
      <c r="N147" s="2"/>
      <c r="O147" s="2"/>
      <c r="P147" s="10"/>
      <c r="W147" s="10"/>
      <c r="AD147" s="10"/>
    </row>
    <row r="148" spans="9:36" ht="13.5" customHeight="1" x14ac:dyDescent="0.25">
      <c r="I148" s="9"/>
      <c r="J148" s="14"/>
      <c r="K148" s="2"/>
      <c r="L148" s="2"/>
      <c r="M148" s="2"/>
      <c r="N148" s="2"/>
      <c r="O148" s="2"/>
      <c r="P148" s="10"/>
      <c r="W148" s="10"/>
      <c r="AD148" s="10"/>
    </row>
    <row r="149" spans="9:36" ht="13.5" customHeight="1" x14ac:dyDescent="0.25">
      <c r="I149" s="9"/>
      <c r="J149" s="14"/>
      <c r="K149" s="2"/>
      <c r="L149" s="2"/>
      <c r="M149" s="2"/>
      <c r="N149" s="2"/>
      <c r="O149" s="2"/>
      <c r="P149" s="10"/>
      <c r="W149" s="10"/>
      <c r="AD149" s="10"/>
    </row>
    <row r="150" spans="9:36" ht="13.5" customHeight="1" x14ac:dyDescent="0.25">
      <c r="I150" s="9"/>
      <c r="J150" s="14"/>
      <c r="K150" s="2"/>
      <c r="L150" s="2"/>
      <c r="M150" s="2"/>
      <c r="N150" s="2"/>
      <c r="O150" s="2"/>
      <c r="P150" s="10"/>
      <c r="W150" s="10"/>
      <c r="AD150" s="10"/>
    </row>
    <row r="151" spans="9:36" ht="13.5" customHeight="1" x14ac:dyDescent="0.25">
      <c r="I151" s="9"/>
      <c r="J151" s="14"/>
      <c r="K151" s="2"/>
      <c r="L151" s="2"/>
      <c r="M151" s="2"/>
      <c r="N151" s="2"/>
      <c r="O151" s="2"/>
      <c r="P151" s="10"/>
      <c r="W151" s="10"/>
      <c r="AD151" s="10"/>
    </row>
    <row r="152" spans="9:36" ht="13.5" customHeight="1" x14ac:dyDescent="0.25">
      <c r="J152" s="9"/>
    </row>
    <row r="153" spans="9:36" ht="13.5" customHeight="1" x14ac:dyDescent="0.25">
      <c r="J153" s="9"/>
    </row>
    <row r="154" spans="9:36" ht="13.5" customHeight="1" x14ac:dyDescent="0.25">
      <c r="J154" s="9"/>
    </row>
    <row r="155" spans="9:36" ht="13.5" customHeight="1" x14ac:dyDescent="0.25">
      <c r="J155" s="9"/>
    </row>
    <row r="156" spans="9:36" ht="13.5" customHeight="1" x14ac:dyDescent="0.25">
      <c r="J156" s="9"/>
    </row>
    <row r="157" spans="9:36" ht="13.5" customHeight="1" x14ac:dyDescent="0.25">
      <c r="J157" s="9"/>
    </row>
    <row r="158" spans="9:36" ht="13.5" customHeight="1" x14ac:dyDescent="0.25">
      <c r="J158" s="9"/>
    </row>
    <row r="159" spans="9:36" ht="13.5" customHeight="1" x14ac:dyDescent="0.25">
      <c r="J159" s="9"/>
    </row>
    <row r="160" spans="9:36" ht="13.5" customHeight="1" x14ac:dyDescent="0.25">
      <c r="J160" s="9"/>
    </row>
    <row r="161" spans="10:10" ht="13.5" customHeight="1" x14ac:dyDescent="0.25">
      <c r="J161" s="9"/>
    </row>
    <row r="162" spans="10:10" ht="13.5" customHeight="1" x14ac:dyDescent="0.25">
      <c r="J162" s="9"/>
    </row>
    <row r="163" spans="10:10" ht="13.5" customHeight="1" x14ac:dyDescent="0.25">
      <c r="J163" s="9"/>
    </row>
    <row r="164" spans="10:10" ht="13.5" customHeight="1" x14ac:dyDescent="0.25">
      <c r="J164" s="9"/>
    </row>
    <row r="165" spans="10:10" ht="13.5" customHeight="1" x14ac:dyDescent="0.25">
      <c r="J165" s="9"/>
    </row>
    <row r="166" spans="10:10" ht="13.5" customHeight="1" x14ac:dyDescent="0.25">
      <c r="J166" s="9"/>
    </row>
    <row r="167" spans="10:10" ht="13.5" customHeight="1" x14ac:dyDescent="0.25">
      <c r="J167" s="9"/>
    </row>
    <row r="168" spans="10:10" ht="13.5" customHeight="1" x14ac:dyDescent="0.25">
      <c r="J168" s="9"/>
    </row>
    <row r="169" spans="10:10" ht="13.5" customHeight="1" x14ac:dyDescent="0.25">
      <c r="J169" s="9"/>
    </row>
    <row r="170" spans="10:10" ht="13.5" customHeight="1" x14ac:dyDescent="0.25">
      <c r="J170" s="9"/>
    </row>
    <row r="171" spans="10:10" ht="13.5" customHeight="1" x14ac:dyDescent="0.25">
      <c r="J171" s="9"/>
    </row>
    <row r="172" spans="10:10" ht="13.5" customHeight="1" x14ac:dyDescent="0.25">
      <c r="J172" s="9"/>
    </row>
    <row r="173" spans="10:10" ht="13.5" customHeight="1" x14ac:dyDescent="0.25">
      <c r="J173" s="9"/>
    </row>
    <row r="174" spans="10:10" ht="13.5" customHeight="1" x14ac:dyDescent="0.25">
      <c r="J174" s="9"/>
    </row>
    <row r="175" spans="10:10" ht="13.5" customHeight="1" x14ac:dyDescent="0.25">
      <c r="J175" s="9"/>
    </row>
    <row r="176" spans="10:10" ht="13.5" customHeight="1" x14ac:dyDescent="0.25">
      <c r="J176" s="9"/>
    </row>
    <row r="177" spans="10:10" ht="13.5" customHeight="1" x14ac:dyDescent="0.25">
      <c r="J177" s="9"/>
    </row>
    <row r="178" spans="10:10" ht="13.5" customHeight="1" x14ac:dyDescent="0.25">
      <c r="J178" s="9"/>
    </row>
    <row r="179" spans="10:10" ht="13.5" customHeight="1" x14ac:dyDescent="0.25">
      <c r="J179" s="9"/>
    </row>
    <row r="180" spans="10:10" ht="13.5" customHeight="1" x14ac:dyDescent="0.25">
      <c r="J180" s="9"/>
    </row>
    <row r="181" spans="10:10" ht="13.5" customHeight="1" x14ac:dyDescent="0.25">
      <c r="J181" s="9"/>
    </row>
    <row r="182" spans="10:10" ht="13.5" customHeight="1" x14ac:dyDescent="0.25">
      <c r="J182" s="9"/>
    </row>
    <row r="183" spans="10:10" ht="13.5" customHeight="1" x14ac:dyDescent="0.25">
      <c r="J183" s="9"/>
    </row>
    <row r="184" spans="10:10" ht="13.5" customHeight="1" x14ac:dyDescent="0.25">
      <c r="J184" s="9"/>
    </row>
    <row r="185" spans="10:10" ht="13.5" customHeight="1" x14ac:dyDescent="0.25">
      <c r="J185" s="9"/>
    </row>
    <row r="186" spans="10:10" ht="13.5" customHeight="1" x14ac:dyDescent="0.25">
      <c r="J186" s="9"/>
    </row>
    <row r="187" spans="10:10" ht="13.5" customHeight="1" x14ac:dyDescent="0.25">
      <c r="J187" s="9"/>
    </row>
    <row r="188" spans="10:10" ht="13.5" customHeight="1" x14ac:dyDescent="0.25">
      <c r="J188" s="9"/>
    </row>
    <row r="189" spans="10:10" ht="13.5" customHeight="1" x14ac:dyDescent="0.25">
      <c r="J189" s="9"/>
    </row>
    <row r="190" spans="10:10" ht="13.5" customHeight="1" x14ac:dyDescent="0.25">
      <c r="J190" s="9"/>
    </row>
    <row r="191" spans="10:10" ht="13.5" customHeight="1" x14ac:dyDescent="0.25">
      <c r="J191" s="9"/>
    </row>
    <row r="192" spans="10:10" ht="13.5" customHeight="1" x14ac:dyDescent="0.25">
      <c r="J192" s="9"/>
    </row>
    <row r="193" spans="10:10" ht="13.5" customHeight="1" x14ac:dyDescent="0.25">
      <c r="J193" s="9"/>
    </row>
    <row r="194" spans="10:10" ht="13.5" customHeight="1" x14ac:dyDescent="0.25">
      <c r="J194" s="9"/>
    </row>
    <row r="195" spans="10:10" ht="13.5" customHeight="1" x14ac:dyDescent="0.25">
      <c r="J195" s="9"/>
    </row>
    <row r="196" spans="10:10" ht="13.5" customHeight="1" x14ac:dyDescent="0.25">
      <c r="J196" s="9"/>
    </row>
    <row r="197" spans="10:10" ht="13.5" customHeight="1" x14ac:dyDescent="0.25">
      <c r="J197" s="9"/>
    </row>
    <row r="198" spans="10:10" ht="13.5" customHeight="1" x14ac:dyDescent="0.25">
      <c r="J198" s="9"/>
    </row>
    <row r="199" spans="10:10" ht="13.5" customHeight="1" x14ac:dyDescent="0.25">
      <c r="J199" s="9"/>
    </row>
    <row r="200" spans="10:10" ht="13.5" customHeight="1" x14ac:dyDescent="0.25">
      <c r="J200" s="9"/>
    </row>
    <row r="201" spans="10:10" ht="13.5" customHeight="1" x14ac:dyDescent="0.25">
      <c r="J201" s="9"/>
    </row>
    <row r="202" spans="10:10" ht="13.5" customHeight="1" x14ac:dyDescent="0.25">
      <c r="J202" s="9"/>
    </row>
    <row r="203" spans="10:10" ht="13.5" customHeight="1" x14ac:dyDescent="0.25">
      <c r="J203" s="9"/>
    </row>
    <row r="204" spans="10:10" ht="13.5" customHeight="1" x14ac:dyDescent="0.25">
      <c r="J204" s="9"/>
    </row>
    <row r="205" spans="10:10" ht="13.5" customHeight="1" x14ac:dyDescent="0.25">
      <c r="J205" s="9"/>
    </row>
    <row r="206" spans="10:10" ht="13.5" customHeight="1" x14ac:dyDescent="0.25">
      <c r="J206" s="9"/>
    </row>
    <row r="207" spans="10:10" ht="13.5" customHeight="1" x14ac:dyDescent="0.25">
      <c r="J207" s="9"/>
    </row>
    <row r="208" spans="10:10" ht="13.5" customHeight="1" x14ac:dyDescent="0.25">
      <c r="J208" s="9"/>
    </row>
    <row r="209" spans="10:10" ht="13.5" customHeight="1" x14ac:dyDescent="0.25">
      <c r="J209" s="9"/>
    </row>
    <row r="210" spans="10:10" ht="13.5" customHeight="1" x14ac:dyDescent="0.25">
      <c r="J210" s="9"/>
    </row>
    <row r="211" spans="10:10" ht="13.5" customHeight="1" x14ac:dyDescent="0.25">
      <c r="J211" s="9"/>
    </row>
    <row r="212" spans="10:10" ht="13.5" customHeight="1" x14ac:dyDescent="0.25">
      <c r="J212" s="9"/>
    </row>
    <row r="213" spans="10:10" ht="13.5" customHeight="1" x14ac:dyDescent="0.25">
      <c r="J213" s="9"/>
    </row>
    <row r="214" spans="10:10" ht="13.5" customHeight="1" x14ac:dyDescent="0.25">
      <c r="J214" s="9"/>
    </row>
    <row r="215" spans="10:10" ht="13.5" customHeight="1" x14ac:dyDescent="0.25">
      <c r="J215" s="9"/>
    </row>
    <row r="216" spans="10:10" ht="13.5" customHeight="1" x14ac:dyDescent="0.25">
      <c r="J216" s="9"/>
    </row>
    <row r="217" spans="10:10" ht="13.5" customHeight="1" x14ac:dyDescent="0.25">
      <c r="J217" s="9"/>
    </row>
    <row r="218" spans="10:10" ht="13.5" customHeight="1" x14ac:dyDescent="0.25">
      <c r="J218" s="9"/>
    </row>
    <row r="219" spans="10:10" ht="13.5" customHeight="1" x14ac:dyDescent="0.25">
      <c r="J219" s="9"/>
    </row>
    <row r="220" spans="10:10" ht="13.5" customHeight="1" x14ac:dyDescent="0.25">
      <c r="J220" s="9"/>
    </row>
    <row r="221" spans="10:10" ht="13.5" customHeight="1" x14ac:dyDescent="0.25">
      <c r="J221" s="9"/>
    </row>
    <row r="222" spans="10:10" ht="13.5" customHeight="1" x14ac:dyDescent="0.25">
      <c r="J222" s="9"/>
    </row>
    <row r="223" spans="10:10" ht="13.5" customHeight="1" x14ac:dyDescent="0.25">
      <c r="J223" s="9"/>
    </row>
    <row r="224" spans="10:10" ht="13.5" customHeight="1" x14ac:dyDescent="0.25">
      <c r="J224" s="9"/>
    </row>
    <row r="225" spans="10:10" ht="13.5" customHeight="1" x14ac:dyDescent="0.25">
      <c r="J225" s="9"/>
    </row>
    <row r="226" spans="10:10" ht="13.5" customHeight="1" x14ac:dyDescent="0.25">
      <c r="J226" s="9"/>
    </row>
    <row r="227" spans="10:10" ht="13.5" customHeight="1" x14ac:dyDescent="0.25">
      <c r="J227" s="9"/>
    </row>
    <row r="228" spans="10:10" ht="13.5" customHeight="1" x14ac:dyDescent="0.25">
      <c r="J228" s="9"/>
    </row>
    <row r="229" spans="10:10" ht="13.5" customHeight="1" x14ac:dyDescent="0.25">
      <c r="J229" s="9"/>
    </row>
    <row r="230" spans="10:10" ht="13.5" customHeight="1" x14ac:dyDescent="0.25">
      <c r="J230" s="9"/>
    </row>
    <row r="231" spans="10:10" ht="13.5" customHeight="1" x14ac:dyDescent="0.25">
      <c r="J231" s="9"/>
    </row>
    <row r="232" spans="10:10" ht="13.5" customHeight="1" x14ac:dyDescent="0.25">
      <c r="J232" s="9"/>
    </row>
    <row r="233" spans="10:10" ht="13.5" customHeight="1" x14ac:dyDescent="0.25">
      <c r="J233" s="9"/>
    </row>
    <row r="234" spans="10:10" ht="13.5" customHeight="1" x14ac:dyDescent="0.25">
      <c r="J234" s="9"/>
    </row>
    <row r="235" spans="10:10" ht="13.5" customHeight="1" x14ac:dyDescent="0.25">
      <c r="J235" s="9"/>
    </row>
    <row r="236" spans="10:10" ht="13.5" customHeight="1" x14ac:dyDescent="0.25">
      <c r="J236" s="9"/>
    </row>
    <row r="237" spans="10:10" ht="13.5" customHeight="1" x14ac:dyDescent="0.25">
      <c r="J237" s="9"/>
    </row>
    <row r="238" spans="10:10" ht="13.5" customHeight="1" x14ac:dyDescent="0.25">
      <c r="J238" s="9"/>
    </row>
    <row r="239" spans="10:10" ht="13.5" customHeight="1" x14ac:dyDescent="0.25">
      <c r="J239" s="9"/>
    </row>
    <row r="240" spans="10:10" ht="13.5" customHeight="1" x14ac:dyDescent="0.25">
      <c r="J240" s="9"/>
    </row>
    <row r="241" spans="10:10" ht="13.5" customHeight="1" x14ac:dyDescent="0.25">
      <c r="J241" s="9"/>
    </row>
    <row r="242" spans="10:10" ht="13.5" customHeight="1" x14ac:dyDescent="0.25">
      <c r="J242" s="9"/>
    </row>
    <row r="243" spans="10:10" ht="13.5" customHeight="1" x14ac:dyDescent="0.25">
      <c r="J243" s="9"/>
    </row>
    <row r="244" spans="10:10" ht="13.5" customHeight="1" x14ac:dyDescent="0.25">
      <c r="J244" s="9"/>
    </row>
    <row r="245" spans="10:10" ht="13.5" customHeight="1" x14ac:dyDescent="0.25">
      <c r="J245" s="9"/>
    </row>
    <row r="246" spans="10:10" ht="13.5" customHeight="1" x14ac:dyDescent="0.25">
      <c r="J246" s="9"/>
    </row>
    <row r="247" spans="10:10" ht="13.5" customHeight="1" x14ac:dyDescent="0.25">
      <c r="J247" s="9"/>
    </row>
    <row r="248" spans="10:10" ht="13.5" customHeight="1" x14ac:dyDescent="0.25">
      <c r="J248" s="9"/>
    </row>
    <row r="249" spans="10:10" ht="13.5" customHeight="1" x14ac:dyDescent="0.25">
      <c r="J249" s="9"/>
    </row>
    <row r="250" spans="10:10" ht="13.5" customHeight="1" x14ac:dyDescent="0.25">
      <c r="J250" s="9"/>
    </row>
    <row r="251" spans="10:10" ht="13.5" customHeight="1" x14ac:dyDescent="0.25">
      <c r="J251" s="9"/>
    </row>
    <row r="252" spans="10:10" x14ac:dyDescent="0.25">
      <c r="J252" s="14"/>
    </row>
    <row r="253" spans="10:10" x14ac:dyDescent="0.25">
      <c r="J253" s="14"/>
    </row>
    <row r="254" spans="10:10" x14ac:dyDescent="0.25">
      <c r="J254" s="14"/>
    </row>
    <row r="255" spans="10:10" x14ac:dyDescent="0.25">
      <c r="J255" s="14"/>
    </row>
    <row r="256" spans="10:10" x14ac:dyDescent="0.25">
      <c r="J256" s="14"/>
    </row>
    <row r="257" spans="10:10" x14ac:dyDescent="0.25">
      <c r="J257" s="14"/>
    </row>
    <row r="258" spans="10:10" x14ac:dyDescent="0.25">
      <c r="J258" s="14"/>
    </row>
    <row r="259" spans="10:10" x14ac:dyDescent="0.25">
      <c r="J259" s="14"/>
    </row>
    <row r="260" spans="10:10" x14ac:dyDescent="0.25">
      <c r="J260" s="14"/>
    </row>
    <row r="261" spans="10:10" x14ac:dyDescent="0.25">
      <c r="J261" s="14"/>
    </row>
    <row r="262" spans="10:10" x14ac:dyDescent="0.25">
      <c r="J262" s="14"/>
    </row>
    <row r="263" spans="10:10" x14ac:dyDescent="0.25">
      <c r="J263" s="14"/>
    </row>
    <row r="264" spans="10:10" x14ac:dyDescent="0.25">
      <c r="J264" s="14"/>
    </row>
    <row r="265" spans="10:10" x14ac:dyDescent="0.25">
      <c r="J265" s="14"/>
    </row>
    <row r="266" spans="10:10" x14ac:dyDescent="0.25">
      <c r="J266" s="14"/>
    </row>
    <row r="267" spans="10:10" x14ac:dyDescent="0.25">
      <c r="J267" s="14"/>
    </row>
    <row r="268" spans="10:10" x14ac:dyDescent="0.25">
      <c r="J268" s="14"/>
    </row>
    <row r="269" spans="10:10" x14ac:dyDescent="0.25">
      <c r="J269" s="14"/>
    </row>
    <row r="270" spans="10:10" x14ac:dyDescent="0.25">
      <c r="J270" s="14"/>
    </row>
    <row r="271" spans="10:10" x14ac:dyDescent="0.25">
      <c r="J271" s="14"/>
    </row>
    <row r="272" spans="10:10" x14ac:dyDescent="0.25">
      <c r="J272" s="14"/>
    </row>
    <row r="273" spans="10:10" x14ac:dyDescent="0.25">
      <c r="J273" s="14"/>
    </row>
    <row r="274" spans="10:10" x14ac:dyDescent="0.25">
      <c r="J274" s="14"/>
    </row>
    <row r="275" spans="10:10" x14ac:dyDescent="0.25">
      <c r="J275" s="14"/>
    </row>
    <row r="276" spans="10:10" x14ac:dyDescent="0.25">
      <c r="J276" s="14"/>
    </row>
    <row r="277" spans="10:10" x14ac:dyDescent="0.25">
      <c r="J277" s="14"/>
    </row>
    <row r="278" spans="10:10" x14ac:dyDescent="0.25">
      <c r="J278" s="14"/>
    </row>
    <row r="279" spans="10:10" x14ac:dyDescent="0.25">
      <c r="J279" s="14"/>
    </row>
    <row r="280" spans="10:10" x14ac:dyDescent="0.25">
      <c r="J280" s="14"/>
    </row>
    <row r="281" spans="10:10" x14ac:dyDescent="0.25">
      <c r="J281" s="14"/>
    </row>
    <row r="282" spans="10:10" x14ac:dyDescent="0.25">
      <c r="J282" s="14"/>
    </row>
    <row r="283" spans="10:10" x14ac:dyDescent="0.25">
      <c r="J283" s="14"/>
    </row>
    <row r="284" spans="10:10" x14ac:dyDescent="0.25">
      <c r="J284" s="14"/>
    </row>
    <row r="285" spans="10:10" x14ac:dyDescent="0.25">
      <c r="J285" s="14"/>
    </row>
    <row r="286" spans="10:10" x14ac:dyDescent="0.25">
      <c r="J286" s="14"/>
    </row>
    <row r="287" spans="10:10" x14ac:dyDescent="0.25">
      <c r="J287" s="14"/>
    </row>
    <row r="288" spans="10:10" x14ac:dyDescent="0.25">
      <c r="J288" s="14"/>
    </row>
    <row r="289" spans="10:10" x14ac:dyDescent="0.25">
      <c r="J289" s="14"/>
    </row>
    <row r="290" spans="10:10" x14ac:dyDescent="0.25">
      <c r="J290" s="14"/>
    </row>
    <row r="291" spans="10:10" x14ac:dyDescent="0.25">
      <c r="J291" s="14"/>
    </row>
    <row r="292" spans="10:10" x14ac:dyDescent="0.25">
      <c r="J292" s="14"/>
    </row>
    <row r="293" spans="10:10" x14ac:dyDescent="0.25">
      <c r="J293" s="14"/>
    </row>
    <row r="294" spans="10:10" x14ac:dyDescent="0.25">
      <c r="J294" s="14"/>
    </row>
    <row r="295" spans="10:10" x14ac:dyDescent="0.25">
      <c r="J295" s="14"/>
    </row>
    <row r="296" spans="10:10" x14ac:dyDescent="0.25">
      <c r="J296" s="14"/>
    </row>
    <row r="297" spans="10:10" x14ac:dyDescent="0.25">
      <c r="J297" s="14"/>
    </row>
    <row r="298" spans="10:10" x14ac:dyDescent="0.25">
      <c r="J298" s="14"/>
    </row>
    <row r="299" spans="10:10" x14ac:dyDescent="0.25">
      <c r="J299" s="14"/>
    </row>
    <row r="300" spans="10:10" x14ac:dyDescent="0.25">
      <c r="J300" s="14"/>
    </row>
    <row r="301" spans="10:10" x14ac:dyDescent="0.25">
      <c r="J301" s="14"/>
    </row>
    <row r="302" spans="10:10" x14ac:dyDescent="0.25">
      <c r="J302" s="14"/>
    </row>
    <row r="303" spans="10:10" x14ac:dyDescent="0.25">
      <c r="J303" s="14"/>
    </row>
    <row r="304" spans="10:10" x14ac:dyDescent="0.25">
      <c r="J304" s="14"/>
    </row>
    <row r="305" spans="10:10" x14ac:dyDescent="0.25">
      <c r="J305" s="14"/>
    </row>
    <row r="306" spans="10:10" x14ac:dyDescent="0.25">
      <c r="J306" s="14"/>
    </row>
    <row r="307" spans="10:10" x14ac:dyDescent="0.25">
      <c r="J307" s="14"/>
    </row>
    <row r="308" spans="10:10" x14ac:dyDescent="0.25">
      <c r="J308" s="14"/>
    </row>
    <row r="309" spans="10:10" x14ac:dyDescent="0.25">
      <c r="J309" s="14"/>
    </row>
    <row r="310" spans="10:10" x14ac:dyDescent="0.25">
      <c r="J310" s="14"/>
    </row>
    <row r="311" spans="10:10" x14ac:dyDescent="0.25">
      <c r="J311" s="14"/>
    </row>
    <row r="312" spans="10:10" x14ac:dyDescent="0.25">
      <c r="J312" s="14"/>
    </row>
    <row r="313" spans="10:10" x14ac:dyDescent="0.25">
      <c r="J313" s="14"/>
    </row>
    <row r="314" spans="10:10" x14ac:dyDescent="0.25">
      <c r="J314" s="14"/>
    </row>
    <row r="315" spans="10:10" x14ac:dyDescent="0.25">
      <c r="J315" s="14"/>
    </row>
    <row r="316" spans="10:10" x14ac:dyDescent="0.25">
      <c r="J316" s="14"/>
    </row>
    <row r="317" spans="10:10" x14ac:dyDescent="0.25">
      <c r="J317" s="14"/>
    </row>
    <row r="318" spans="10:10" x14ac:dyDescent="0.25">
      <c r="J318" s="14"/>
    </row>
    <row r="319" spans="10:10" x14ac:dyDescent="0.25">
      <c r="J319" s="14"/>
    </row>
    <row r="320" spans="10:10" x14ac:dyDescent="0.25">
      <c r="J320" s="14"/>
    </row>
    <row r="321" spans="10:10" x14ac:dyDescent="0.25">
      <c r="J321" s="14"/>
    </row>
    <row r="322" spans="10:10" x14ac:dyDescent="0.25">
      <c r="J322" s="14"/>
    </row>
    <row r="323" spans="10:10" x14ac:dyDescent="0.25">
      <c r="J323" s="14"/>
    </row>
    <row r="324" spans="10:10" x14ac:dyDescent="0.25">
      <c r="J324" s="14"/>
    </row>
    <row r="325" spans="10:10" x14ac:dyDescent="0.25">
      <c r="J325" s="14"/>
    </row>
    <row r="326" spans="10:10" x14ac:dyDescent="0.25">
      <c r="J326" s="14"/>
    </row>
    <row r="327" spans="10:10" x14ac:dyDescent="0.25">
      <c r="J327" s="14"/>
    </row>
    <row r="328" spans="10:10" x14ac:dyDescent="0.25">
      <c r="J328" s="14"/>
    </row>
    <row r="329" spans="10:10" x14ac:dyDescent="0.25">
      <c r="J329" s="14"/>
    </row>
    <row r="330" spans="10:10" x14ac:dyDescent="0.25">
      <c r="J330" s="14"/>
    </row>
    <row r="331" spans="10:10" x14ac:dyDescent="0.25">
      <c r="J331" s="14"/>
    </row>
    <row r="332" spans="10:10" x14ac:dyDescent="0.25">
      <c r="J332" s="14"/>
    </row>
    <row r="333" spans="10:10" x14ac:dyDescent="0.25">
      <c r="J333" s="14"/>
    </row>
    <row r="334" spans="10:10" x14ac:dyDescent="0.25">
      <c r="J334" s="14"/>
    </row>
    <row r="335" spans="10:10" x14ac:dyDescent="0.25">
      <c r="J335" s="14"/>
    </row>
    <row r="336" spans="10:10" x14ac:dyDescent="0.25">
      <c r="J336" s="14"/>
    </row>
    <row r="337" spans="10:10" x14ac:dyDescent="0.25">
      <c r="J337" s="14"/>
    </row>
    <row r="338" spans="10:10" x14ac:dyDescent="0.25">
      <c r="J338" s="14"/>
    </row>
    <row r="339" spans="10:10" x14ac:dyDescent="0.25">
      <c r="J339" s="14"/>
    </row>
    <row r="340" spans="10:10" x14ac:dyDescent="0.25">
      <c r="J340" s="14"/>
    </row>
    <row r="341" spans="10:10" x14ac:dyDescent="0.25">
      <c r="J341" s="14"/>
    </row>
    <row r="342" spans="10:10" x14ac:dyDescent="0.25">
      <c r="J342" s="14"/>
    </row>
    <row r="343" spans="10:10" x14ac:dyDescent="0.25">
      <c r="J343" s="14"/>
    </row>
    <row r="344" spans="10:10" x14ac:dyDescent="0.25">
      <c r="J344" s="14"/>
    </row>
    <row r="345" spans="10:10" x14ac:dyDescent="0.25">
      <c r="J345" s="14"/>
    </row>
    <row r="346" spans="10:10" x14ac:dyDescent="0.25">
      <c r="J346" s="14"/>
    </row>
    <row r="347" spans="10:10" x14ac:dyDescent="0.25">
      <c r="J347" s="14"/>
    </row>
    <row r="348" spans="10:10" x14ac:dyDescent="0.25">
      <c r="J348" s="14"/>
    </row>
    <row r="349" spans="10:10" x14ac:dyDescent="0.25">
      <c r="J349" s="14"/>
    </row>
    <row r="350" spans="10:10" x14ac:dyDescent="0.25">
      <c r="J350" s="14"/>
    </row>
    <row r="351" spans="10:10" x14ac:dyDescent="0.25">
      <c r="J351" s="14"/>
    </row>
    <row r="352" spans="10:10" x14ac:dyDescent="0.25">
      <c r="J352" s="14"/>
    </row>
    <row r="353" spans="10:10" x14ac:dyDescent="0.25">
      <c r="J353" s="14"/>
    </row>
    <row r="354" spans="10:10" x14ac:dyDescent="0.25">
      <c r="J354" s="14"/>
    </row>
    <row r="355" spans="10:10" x14ac:dyDescent="0.25">
      <c r="J355" s="14"/>
    </row>
    <row r="356" spans="10:10" x14ac:dyDescent="0.25">
      <c r="J356" s="14"/>
    </row>
    <row r="357" spans="10:10" x14ac:dyDescent="0.25">
      <c r="J357" s="14"/>
    </row>
    <row r="358" spans="10:10" x14ac:dyDescent="0.25">
      <c r="J358" s="14"/>
    </row>
    <row r="359" spans="10:10" x14ac:dyDescent="0.25">
      <c r="J359" s="14"/>
    </row>
    <row r="360" spans="10:10" x14ac:dyDescent="0.25">
      <c r="J360" s="14"/>
    </row>
    <row r="361" spans="10:10" x14ac:dyDescent="0.25">
      <c r="J361" s="14"/>
    </row>
    <row r="362" spans="10:10" x14ac:dyDescent="0.25">
      <c r="J362" s="14"/>
    </row>
    <row r="363" spans="10:10" x14ac:dyDescent="0.25">
      <c r="J363" s="14"/>
    </row>
    <row r="364" spans="10:10" x14ac:dyDescent="0.25">
      <c r="J364" s="14"/>
    </row>
    <row r="365" spans="10:10" x14ac:dyDescent="0.25">
      <c r="J365" s="14"/>
    </row>
    <row r="366" spans="10:10" x14ac:dyDescent="0.25">
      <c r="J366" s="14"/>
    </row>
    <row r="367" spans="10:10" x14ac:dyDescent="0.25">
      <c r="J367" s="14"/>
    </row>
    <row r="368" spans="10:10" x14ac:dyDescent="0.25">
      <c r="J368" s="14"/>
    </row>
    <row r="369" spans="10:10" x14ac:dyDescent="0.25">
      <c r="J369" s="14"/>
    </row>
    <row r="370" spans="10:10" x14ac:dyDescent="0.25">
      <c r="J370" s="14"/>
    </row>
    <row r="371" spans="10:10" x14ac:dyDescent="0.25">
      <c r="J371" s="14"/>
    </row>
    <row r="372" spans="10:10" x14ac:dyDescent="0.25">
      <c r="J372" s="14"/>
    </row>
    <row r="373" spans="10:10" x14ac:dyDescent="0.25">
      <c r="J373" s="14"/>
    </row>
    <row r="374" spans="10:10" x14ac:dyDescent="0.25">
      <c r="J374" s="14"/>
    </row>
    <row r="375" spans="10:10" x14ac:dyDescent="0.25">
      <c r="J375" s="14"/>
    </row>
    <row r="376" spans="10:10" x14ac:dyDescent="0.25">
      <c r="J376" s="14"/>
    </row>
    <row r="377" spans="10:10" x14ac:dyDescent="0.25">
      <c r="J377" s="14"/>
    </row>
    <row r="378" spans="10:10" x14ac:dyDescent="0.25">
      <c r="J378" s="14"/>
    </row>
    <row r="379" spans="10:10" x14ac:dyDescent="0.25">
      <c r="J379" s="14"/>
    </row>
    <row r="380" spans="10:10" x14ac:dyDescent="0.25">
      <c r="J380" s="14"/>
    </row>
    <row r="381" spans="10:10" x14ac:dyDescent="0.25">
      <c r="J381" s="14"/>
    </row>
    <row r="382" spans="10:10" x14ac:dyDescent="0.25">
      <c r="J382" s="14"/>
    </row>
    <row r="383" spans="10:10" x14ac:dyDescent="0.25">
      <c r="J383" s="14"/>
    </row>
    <row r="384" spans="10:10" x14ac:dyDescent="0.25">
      <c r="J384" s="14"/>
    </row>
    <row r="385" spans="10:10" x14ac:dyDescent="0.25">
      <c r="J385" s="14"/>
    </row>
    <row r="386" spans="10:10" x14ac:dyDescent="0.25">
      <c r="J386" s="14"/>
    </row>
    <row r="387" spans="10:10" x14ac:dyDescent="0.25">
      <c r="J387" s="14"/>
    </row>
    <row r="388" spans="10:10" x14ac:dyDescent="0.25">
      <c r="J388" s="14"/>
    </row>
    <row r="389" spans="10:10" x14ac:dyDescent="0.25">
      <c r="J389" s="14"/>
    </row>
    <row r="390" spans="10:10" x14ac:dyDescent="0.25">
      <c r="J390" s="14"/>
    </row>
    <row r="391" spans="10:10" x14ac:dyDescent="0.25">
      <c r="J391" s="14"/>
    </row>
    <row r="392" spans="10:10" x14ac:dyDescent="0.25">
      <c r="J392" s="14"/>
    </row>
    <row r="393" spans="10:10" x14ac:dyDescent="0.25">
      <c r="J393" s="14"/>
    </row>
    <row r="394" spans="10:10" x14ac:dyDescent="0.25">
      <c r="J394" s="14"/>
    </row>
    <row r="395" spans="10:10" x14ac:dyDescent="0.25">
      <c r="J395" s="14"/>
    </row>
    <row r="396" spans="10:10" x14ac:dyDescent="0.25">
      <c r="J396" s="14"/>
    </row>
    <row r="397" spans="10:10" x14ac:dyDescent="0.25">
      <c r="J397" s="14"/>
    </row>
    <row r="398" spans="10:10" x14ac:dyDescent="0.25">
      <c r="J398" s="14"/>
    </row>
    <row r="399" spans="10:10" x14ac:dyDescent="0.25">
      <c r="J399" s="14"/>
    </row>
    <row r="400" spans="10:10" x14ac:dyDescent="0.25">
      <c r="J400" s="14"/>
    </row>
    <row r="401" spans="10:10" x14ac:dyDescent="0.25">
      <c r="J401" s="14"/>
    </row>
    <row r="402" spans="10:10" x14ac:dyDescent="0.25">
      <c r="J402" s="14"/>
    </row>
    <row r="403" spans="10:10" x14ac:dyDescent="0.25">
      <c r="J403" s="14"/>
    </row>
    <row r="404" spans="10:10" x14ac:dyDescent="0.25">
      <c r="J404" s="14"/>
    </row>
    <row r="405" spans="10:10" x14ac:dyDescent="0.25">
      <c r="J405" s="14"/>
    </row>
    <row r="406" spans="10:10" x14ac:dyDescent="0.25">
      <c r="J406" s="14"/>
    </row>
    <row r="407" spans="10:10" x14ac:dyDescent="0.25">
      <c r="J407" s="14"/>
    </row>
    <row r="408" spans="10:10" x14ac:dyDescent="0.25">
      <c r="J408" s="14"/>
    </row>
    <row r="409" spans="10:10" x14ac:dyDescent="0.25">
      <c r="J409" s="14"/>
    </row>
    <row r="410" spans="10:10" x14ac:dyDescent="0.25">
      <c r="J410" s="14"/>
    </row>
    <row r="411" spans="10:10" x14ac:dyDescent="0.25">
      <c r="J411" s="14"/>
    </row>
    <row r="412" spans="10:10" x14ac:dyDescent="0.25">
      <c r="J412" s="14"/>
    </row>
    <row r="413" spans="10:10" x14ac:dyDescent="0.25">
      <c r="J413" s="14"/>
    </row>
    <row r="414" spans="10:10" x14ac:dyDescent="0.25">
      <c r="J414" s="14"/>
    </row>
    <row r="415" spans="10:10" x14ac:dyDescent="0.25">
      <c r="J415" s="14"/>
    </row>
    <row r="416" spans="10:10" x14ac:dyDescent="0.25">
      <c r="J416" s="14"/>
    </row>
    <row r="417" spans="10:10" x14ac:dyDescent="0.25">
      <c r="J417" s="14"/>
    </row>
    <row r="418" spans="10:10" x14ac:dyDescent="0.25">
      <c r="J418" s="14"/>
    </row>
    <row r="419" spans="10:10" x14ac:dyDescent="0.25">
      <c r="J419" s="14"/>
    </row>
    <row r="420" spans="10:10" x14ac:dyDescent="0.25">
      <c r="J420" s="14"/>
    </row>
    <row r="421" spans="10:10" x14ac:dyDescent="0.25">
      <c r="J421" s="14"/>
    </row>
    <row r="422" spans="10:10" x14ac:dyDescent="0.25">
      <c r="J422" s="14"/>
    </row>
    <row r="423" spans="10:10" x14ac:dyDescent="0.25">
      <c r="J423" s="14"/>
    </row>
    <row r="424" spans="10:10" x14ac:dyDescent="0.25">
      <c r="J424" s="14"/>
    </row>
    <row r="425" spans="10:10" x14ac:dyDescent="0.25">
      <c r="J425" s="14"/>
    </row>
    <row r="426" spans="10:10" x14ac:dyDescent="0.25">
      <c r="J426" s="14"/>
    </row>
    <row r="427" spans="10:10" x14ac:dyDescent="0.25">
      <c r="J427" s="14"/>
    </row>
    <row r="428" spans="10:10" x14ac:dyDescent="0.25">
      <c r="J428" s="14"/>
    </row>
    <row r="429" spans="10:10" x14ac:dyDescent="0.25">
      <c r="J429" s="14"/>
    </row>
    <row r="430" spans="10:10" x14ac:dyDescent="0.25">
      <c r="J430" s="14"/>
    </row>
    <row r="431" spans="10:10" x14ac:dyDescent="0.25">
      <c r="J431" s="14"/>
    </row>
    <row r="432" spans="10:10" x14ac:dyDescent="0.25">
      <c r="J432" s="14"/>
    </row>
    <row r="433" spans="10:10" x14ac:dyDescent="0.25">
      <c r="J433" s="14"/>
    </row>
    <row r="434" spans="10:10" x14ac:dyDescent="0.25">
      <c r="J434" s="14"/>
    </row>
    <row r="435" spans="10:10" x14ac:dyDescent="0.25">
      <c r="J435" s="14"/>
    </row>
    <row r="436" spans="10:10" x14ac:dyDescent="0.25">
      <c r="J436" s="14"/>
    </row>
    <row r="437" spans="10:10" x14ac:dyDescent="0.25">
      <c r="J437" s="14"/>
    </row>
    <row r="438" spans="10:10" x14ac:dyDescent="0.25">
      <c r="J438" s="14"/>
    </row>
    <row r="439" spans="10:10" x14ac:dyDescent="0.25">
      <c r="J439" s="14"/>
    </row>
    <row r="440" spans="10:10" x14ac:dyDescent="0.25">
      <c r="J440" s="14"/>
    </row>
    <row r="441" spans="10:10" x14ac:dyDescent="0.25">
      <c r="J441" s="14"/>
    </row>
    <row r="442" spans="10:10" x14ac:dyDescent="0.25">
      <c r="J442" s="14"/>
    </row>
    <row r="443" spans="10:10" x14ac:dyDescent="0.25">
      <c r="J443" s="14"/>
    </row>
    <row r="444" spans="10:10" x14ac:dyDescent="0.25">
      <c r="J444" s="14"/>
    </row>
    <row r="445" spans="10:10" x14ac:dyDescent="0.25">
      <c r="J445" s="14"/>
    </row>
    <row r="446" spans="10:10" x14ac:dyDescent="0.25">
      <c r="J446" s="14"/>
    </row>
    <row r="447" spans="10:10" x14ac:dyDescent="0.25">
      <c r="J447" s="14"/>
    </row>
    <row r="448" spans="10:10" x14ac:dyDescent="0.25">
      <c r="J448" s="14"/>
    </row>
    <row r="449" spans="10:10" x14ac:dyDescent="0.25">
      <c r="J449" s="14"/>
    </row>
    <row r="450" spans="10:10" x14ac:dyDescent="0.25">
      <c r="J450" s="14"/>
    </row>
    <row r="451" spans="10:10" x14ac:dyDescent="0.25">
      <c r="J451" s="14"/>
    </row>
    <row r="452" spans="10:10" x14ac:dyDescent="0.25">
      <c r="J452" s="14"/>
    </row>
    <row r="453" spans="10:10" x14ac:dyDescent="0.25">
      <c r="J453" s="14"/>
    </row>
    <row r="454" spans="10:10" x14ac:dyDescent="0.25">
      <c r="J454" s="14"/>
    </row>
    <row r="455" spans="10:10" x14ac:dyDescent="0.25">
      <c r="J455" s="14"/>
    </row>
    <row r="456" spans="10:10" x14ac:dyDescent="0.25">
      <c r="J456" s="14"/>
    </row>
    <row r="457" spans="10:10" x14ac:dyDescent="0.25">
      <c r="J457" s="14"/>
    </row>
    <row r="458" spans="10:10" x14ac:dyDescent="0.25">
      <c r="J458" s="14"/>
    </row>
    <row r="459" spans="10:10" x14ac:dyDescent="0.25">
      <c r="J459" s="14"/>
    </row>
    <row r="460" spans="10:10" x14ac:dyDescent="0.25">
      <c r="J460" s="14"/>
    </row>
    <row r="461" spans="10:10" x14ac:dyDescent="0.25">
      <c r="J461" s="14"/>
    </row>
    <row r="462" spans="10:10" x14ac:dyDescent="0.25">
      <c r="J462" s="14"/>
    </row>
    <row r="463" spans="10:10" x14ac:dyDescent="0.25">
      <c r="J463" s="14"/>
    </row>
    <row r="464" spans="10:10" x14ac:dyDescent="0.25">
      <c r="J464" s="14"/>
    </row>
    <row r="465" spans="10:10" x14ac:dyDescent="0.25">
      <c r="J465" s="14"/>
    </row>
    <row r="466" spans="10:10" x14ac:dyDescent="0.25">
      <c r="J466" s="14"/>
    </row>
    <row r="467" spans="10:10" x14ac:dyDescent="0.25">
      <c r="J467" s="14"/>
    </row>
    <row r="468" spans="10:10" x14ac:dyDescent="0.25">
      <c r="J468" s="14"/>
    </row>
    <row r="469" spans="10:10" x14ac:dyDescent="0.25">
      <c r="J469" s="14"/>
    </row>
    <row r="470" spans="10:10" x14ac:dyDescent="0.25">
      <c r="J470" s="14"/>
    </row>
    <row r="471" spans="10:10" x14ac:dyDescent="0.25">
      <c r="J471" s="14"/>
    </row>
    <row r="472" spans="10:10" x14ac:dyDescent="0.25">
      <c r="J472" s="14"/>
    </row>
    <row r="473" spans="10:10" x14ac:dyDescent="0.25">
      <c r="J473" s="14"/>
    </row>
    <row r="474" spans="10:10" x14ac:dyDescent="0.25">
      <c r="J474" s="14"/>
    </row>
    <row r="475" spans="10:10" x14ac:dyDescent="0.25">
      <c r="J475" s="14"/>
    </row>
    <row r="476" spans="10:10" x14ac:dyDescent="0.25">
      <c r="J476" s="14"/>
    </row>
    <row r="477" spans="10:10" x14ac:dyDescent="0.25">
      <c r="J477" s="14"/>
    </row>
    <row r="478" spans="10:10" x14ac:dyDescent="0.25">
      <c r="J478" s="14"/>
    </row>
    <row r="479" spans="10:10" x14ac:dyDescent="0.25">
      <c r="J479" s="14"/>
    </row>
    <row r="480" spans="10:10" x14ac:dyDescent="0.25">
      <c r="J480" s="14"/>
    </row>
    <row r="481" spans="10:10" x14ac:dyDescent="0.25">
      <c r="J481" s="14"/>
    </row>
    <row r="482" spans="10:10" x14ac:dyDescent="0.25">
      <c r="J482" s="14"/>
    </row>
    <row r="483" spans="10:10" x14ac:dyDescent="0.25">
      <c r="J483" s="14"/>
    </row>
    <row r="484" spans="10:10" x14ac:dyDescent="0.25">
      <c r="J484" s="14"/>
    </row>
    <row r="485" spans="10:10" x14ac:dyDescent="0.25">
      <c r="J485" s="14"/>
    </row>
    <row r="486" spans="10:10" x14ac:dyDescent="0.25">
      <c r="J486" s="14"/>
    </row>
    <row r="487" spans="10:10" x14ac:dyDescent="0.25">
      <c r="J487" s="14"/>
    </row>
    <row r="488" spans="10:10" x14ac:dyDescent="0.25">
      <c r="J488" s="14"/>
    </row>
    <row r="489" spans="10:10" x14ac:dyDescent="0.25">
      <c r="J489" s="14"/>
    </row>
    <row r="490" spans="10:10" x14ac:dyDescent="0.25">
      <c r="J490" s="14"/>
    </row>
    <row r="491" spans="10:10" x14ac:dyDescent="0.25">
      <c r="J491" s="14"/>
    </row>
    <row r="492" spans="10:10" x14ac:dyDescent="0.25">
      <c r="J492" s="14"/>
    </row>
    <row r="493" spans="10:10" x14ac:dyDescent="0.25">
      <c r="J493" s="14"/>
    </row>
    <row r="494" spans="10:10" x14ac:dyDescent="0.25">
      <c r="J494" s="14"/>
    </row>
    <row r="495" spans="10:10" x14ac:dyDescent="0.25">
      <c r="J495" s="14"/>
    </row>
    <row r="496" spans="10:10" x14ac:dyDescent="0.25">
      <c r="J496" s="14"/>
    </row>
    <row r="497" spans="10:10" x14ac:dyDescent="0.25">
      <c r="J497" s="14"/>
    </row>
    <row r="498" spans="10:10" x14ac:dyDescent="0.25">
      <c r="J498" s="14"/>
    </row>
    <row r="499" spans="10:10" x14ac:dyDescent="0.25">
      <c r="J499" s="14"/>
    </row>
    <row r="500" spans="10:10" x14ac:dyDescent="0.25">
      <c r="J500" s="14"/>
    </row>
    <row r="501" spans="10:10" x14ac:dyDescent="0.25">
      <c r="J501" s="14"/>
    </row>
    <row r="502" spans="10:10" x14ac:dyDescent="0.25">
      <c r="J502" s="14"/>
    </row>
    <row r="503" spans="10:10" x14ac:dyDescent="0.25">
      <c r="J503" s="14"/>
    </row>
    <row r="504" spans="10:10" x14ac:dyDescent="0.25">
      <c r="J504" s="14"/>
    </row>
    <row r="505" spans="10:10" x14ac:dyDescent="0.25">
      <c r="J505" s="14"/>
    </row>
    <row r="506" spans="10:10" x14ac:dyDescent="0.25">
      <c r="J506" s="14"/>
    </row>
    <row r="507" spans="10:10" x14ac:dyDescent="0.25">
      <c r="J507" s="14"/>
    </row>
    <row r="508" spans="10:10" x14ac:dyDescent="0.25">
      <c r="J508" s="14"/>
    </row>
    <row r="509" spans="10:10" x14ac:dyDescent="0.25">
      <c r="J509" s="14"/>
    </row>
    <row r="510" spans="10:10" x14ac:dyDescent="0.25">
      <c r="J510" s="14"/>
    </row>
    <row r="511" spans="10:10" x14ac:dyDescent="0.25">
      <c r="J511" s="14"/>
    </row>
    <row r="512" spans="10:10" x14ac:dyDescent="0.25">
      <c r="J512" s="14"/>
    </row>
    <row r="513" spans="10:10" x14ac:dyDescent="0.25">
      <c r="J513" s="14"/>
    </row>
    <row r="514" spans="10:10" x14ac:dyDescent="0.25">
      <c r="J514" s="14"/>
    </row>
    <row r="515" spans="10:10" x14ac:dyDescent="0.25">
      <c r="J515" s="14"/>
    </row>
    <row r="516" spans="10:10" x14ac:dyDescent="0.25">
      <c r="J516" s="14"/>
    </row>
    <row r="517" spans="10:10" x14ac:dyDescent="0.25">
      <c r="J517" s="14"/>
    </row>
    <row r="518" spans="10:10" x14ac:dyDescent="0.25">
      <c r="J518" s="14"/>
    </row>
    <row r="519" spans="10:10" x14ac:dyDescent="0.25">
      <c r="J519" s="14"/>
    </row>
    <row r="520" spans="10:10" x14ac:dyDescent="0.25">
      <c r="J520" s="14"/>
    </row>
    <row r="521" spans="10:10" x14ac:dyDescent="0.25">
      <c r="J521" s="14"/>
    </row>
    <row r="522" spans="10:10" x14ac:dyDescent="0.25">
      <c r="J522" s="14"/>
    </row>
    <row r="523" spans="10:10" x14ac:dyDescent="0.25">
      <c r="J523" s="14"/>
    </row>
    <row r="524" spans="10:10" x14ac:dyDescent="0.25">
      <c r="J524" s="14"/>
    </row>
    <row r="525" spans="10:10" x14ac:dyDescent="0.25">
      <c r="J525" s="14"/>
    </row>
    <row r="526" spans="10:10" x14ac:dyDescent="0.25">
      <c r="J526" s="14"/>
    </row>
    <row r="527" spans="10:10" x14ac:dyDescent="0.25">
      <c r="J527" s="14"/>
    </row>
    <row r="528" spans="10:10" x14ac:dyDescent="0.25">
      <c r="J528" s="14"/>
    </row>
    <row r="529" spans="10:10" x14ac:dyDescent="0.25">
      <c r="J529" s="14"/>
    </row>
    <row r="530" spans="10:10" x14ac:dyDescent="0.25">
      <c r="J530" s="14"/>
    </row>
    <row r="531" spans="10:10" x14ac:dyDescent="0.25">
      <c r="J531" s="14"/>
    </row>
    <row r="532" spans="10:10" x14ac:dyDescent="0.25">
      <c r="J532" s="14"/>
    </row>
    <row r="533" spans="10:10" x14ac:dyDescent="0.25">
      <c r="J533" s="14"/>
    </row>
    <row r="534" spans="10:10" x14ac:dyDescent="0.25">
      <c r="J534" s="14"/>
    </row>
    <row r="535" spans="10:10" x14ac:dyDescent="0.25">
      <c r="J535" s="14"/>
    </row>
    <row r="536" spans="10:10" x14ac:dyDescent="0.25">
      <c r="J536" s="14"/>
    </row>
    <row r="537" spans="10:10" x14ac:dyDescent="0.25">
      <c r="J537" s="14"/>
    </row>
    <row r="538" spans="10:10" x14ac:dyDescent="0.25">
      <c r="J538" s="14"/>
    </row>
    <row r="539" spans="10:10" x14ac:dyDescent="0.25">
      <c r="J539" s="14"/>
    </row>
    <row r="540" spans="10:10" x14ac:dyDescent="0.25">
      <c r="J540" s="14"/>
    </row>
    <row r="541" spans="10:10" x14ac:dyDescent="0.25">
      <c r="J541" s="14"/>
    </row>
    <row r="542" spans="10:10" x14ac:dyDescent="0.25">
      <c r="J542" s="14"/>
    </row>
    <row r="543" spans="10:10" x14ac:dyDescent="0.25">
      <c r="J543" s="14"/>
    </row>
    <row r="544" spans="10:10" x14ac:dyDescent="0.25">
      <c r="J544" s="14"/>
    </row>
    <row r="545" spans="10:10" x14ac:dyDescent="0.25">
      <c r="J545" s="14"/>
    </row>
    <row r="546" spans="10:10" x14ac:dyDescent="0.25">
      <c r="J546" s="14"/>
    </row>
    <row r="547" spans="10:10" x14ac:dyDescent="0.25">
      <c r="J547" s="14"/>
    </row>
    <row r="548" spans="10:10" x14ac:dyDescent="0.25">
      <c r="J548" s="14"/>
    </row>
    <row r="549" spans="10:10" x14ac:dyDescent="0.25">
      <c r="J549" s="14"/>
    </row>
    <row r="550" spans="10:10" x14ac:dyDescent="0.25">
      <c r="J550" s="14"/>
    </row>
    <row r="551" spans="10:10" x14ac:dyDescent="0.25">
      <c r="J551" s="14"/>
    </row>
    <row r="552" spans="10:10" x14ac:dyDescent="0.25">
      <c r="J552" s="14"/>
    </row>
    <row r="553" spans="10:10" x14ac:dyDescent="0.25">
      <c r="J553" s="14"/>
    </row>
    <row r="554" spans="10:10" x14ac:dyDescent="0.25">
      <c r="J554" s="14"/>
    </row>
    <row r="555" spans="10:10" x14ac:dyDescent="0.25">
      <c r="J555" s="14"/>
    </row>
    <row r="556" spans="10:10" x14ac:dyDescent="0.25">
      <c r="J556" s="14"/>
    </row>
    <row r="557" spans="10:10" x14ac:dyDescent="0.25">
      <c r="J557" s="14"/>
    </row>
    <row r="558" spans="10:10" x14ac:dyDescent="0.25">
      <c r="J558" s="14"/>
    </row>
    <row r="559" spans="10:10" x14ac:dyDescent="0.25">
      <c r="J559" s="14"/>
    </row>
    <row r="560" spans="10:10" x14ac:dyDescent="0.25">
      <c r="J560" s="14"/>
    </row>
    <row r="561" spans="10:10" x14ac:dyDescent="0.25">
      <c r="J561" s="14"/>
    </row>
    <row r="562" spans="10:10" x14ac:dyDescent="0.25">
      <c r="J562" s="14"/>
    </row>
    <row r="563" spans="10:10" x14ac:dyDescent="0.25">
      <c r="J563" s="14"/>
    </row>
    <row r="564" spans="10:10" x14ac:dyDescent="0.25">
      <c r="J564" s="14"/>
    </row>
    <row r="565" spans="10:10" x14ac:dyDescent="0.25">
      <c r="J565" s="14"/>
    </row>
    <row r="566" spans="10:10" x14ac:dyDescent="0.25">
      <c r="J566" s="14"/>
    </row>
    <row r="567" spans="10:10" x14ac:dyDescent="0.25">
      <c r="J567" s="14"/>
    </row>
  </sheetData>
  <mergeCells count="119">
    <mergeCell ref="X140:X145"/>
    <mergeCell ref="X86:X91"/>
    <mergeCell ref="AE14:AE19"/>
    <mergeCell ref="AE20:AE25"/>
    <mergeCell ref="AE26:AE31"/>
    <mergeCell ref="AE32:AE37"/>
    <mergeCell ref="AE38:AE43"/>
    <mergeCell ref="AE44:AE49"/>
    <mergeCell ref="AE50:AE55"/>
    <mergeCell ref="AE56:AE61"/>
    <mergeCell ref="AE92:AE97"/>
    <mergeCell ref="AE62:AE67"/>
    <mergeCell ref="AE104:AE109"/>
    <mergeCell ref="AE68:AE73"/>
    <mergeCell ref="AE116:AE121"/>
    <mergeCell ref="X116:X121"/>
    <mergeCell ref="X74:X79"/>
    <mergeCell ref="X128:X133"/>
    <mergeCell ref="X80:X85"/>
    <mergeCell ref="Q140:Q145"/>
    <mergeCell ref="Q32:Q37"/>
    <mergeCell ref="Q38:Q43"/>
    <mergeCell ref="Q44:Q49"/>
    <mergeCell ref="Q50:Q55"/>
    <mergeCell ref="Q56:Q61"/>
    <mergeCell ref="Q2:Q7"/>
    <mergeCell ref="AE74:AE79"/>
    <mergeCell ref="AE128:AE133"/>
    <mergeCell ref="AE80:AE85"/>
    <mergeCell ref="AE140:AE145"/>
    <mergeCell ref="Q86:Q91"/>
    <mergeCell ref="X8:X13"/>
    <mergeCell ref="AE8:AE13"/>
    <mergeCell ref="X14:X19"/>
    <mergeCell ref="X20:X25"/>
    <mergeCell ref="X26:X31"/>
    <mergeCell ref="X32:X37"/>
    <mergeCell ref="X38:X43"/>
    <mergeCell ref="X44:X49"/>
    <mergeCell ref="X56:X61"/>
    <mergeCell ref="X92:X97"/>
    <mergeCell ref="X62:X67"/>
    <mergeCell ref="X104:X109"/>
    <mergeCell ref="Q92:Q97"/>
    <mergeCell ref="Q62:Q67"/>
    <mergeCell ref="Q104:Q109"/>
    <mergeCell ref="Q68:Q73"/>
    <mergeCell ref="Q116:Q121"/>
    <mergeCell ref="Q74:Q79"/>
    <mergeCell ref="Q128:Q133"/>
    <mergeCell ref="Q80:Q85"/>
    <mergeCell ref="X68:X73"/>
    <mergeCell ref="X2:X7"/>
    <mergeCell ref="AE2:AE7"/>
    <mergeCell ref="Q8:Q13"/>
    <mergeCell ref="Q14:Q19"/>
    <mergeCell ref="Q20:Q25"/>
    <mergeCell ref="Q26:Q31"/>
    <mergeCell ref="J2:J7"/>
    <mergeCell ref="J8:J13"/>
    <mergeCell ref="J14:J19"/>
    <mergeCell ref="J20:J25"/>
    <mergeCell ref="J26:J31"/>
    <mergeCell ref="X50:X55"/>
    <mergeCell ref="AE86:AE91"/>
    <mergeCell ref="J32:J37"/>
    <mergeCell ref="J44:J49"/>
    <mergeCell ref="J38:J43"/>
    <mergeCell ref="J56:J61"/>
    <mergeCell ref="J74:J79"/>
    <mergeCell ref="J80:J85"/>
    <mergeCell ref="J50:J55"/>
    <mergeCell ref="D77:D101"/>
    <mergeCell ref="D2:D26"/>
    <mergeCell ref="D27:D51"/>
    <mergeCell ref="D52:D76"/>
    <mergeCell ref="J552:J561"/>
    <mergeCell ref="J562:J567"/>
    <mergeCell ref="J502:J511"/>
    <mergeCell ref="J512:J521"/>
    <mergeCell ref="J522:J531"/>
    <mergeCell ref="J532:J541"/>
    <mergeCell ref="J542:J551"/>
    <mergeCell ref="J452:J461"/>
    <mergeCell ref="J462:J471"/>
    <mergeCell ref="J472:J481"/>
    <mergeCell ref="J482:J491"/>
    <mergeCell ref="J492:J501"/>
    <mergeCell ref="J402:J411"/>
    <mergeCell ref="J412:J421"/>
    <mergeCell ref="J422:J431"/>
    <mergeCell ref="J432:J441"/>
    <mergeCell ref="J442:J451"/>
    <mergeCell ref="J352:J361"/>
    <mergeCell ref="J362:J371"/>
    <mergeCell ref="J372:J381"/>
    <mergeCell ref="J382:J391"/>
    <mergeCell ref="J392:J401"/>
    <mergeCell ref="J302:J311"/>
    <mergeCell ref="J312:J321"/>
    <mergeCell ref="J322:J331"/>
    <mergeCell ref="J332:J341"/>
    <mergeCell ref="J342:J351"/>
    <mergeCell ref="J252:J261"/>
    <mergeCell ref="J262:J271"/>
    <mergeCell ref="J272:J281"/>
    <mergeCell ref="J282:J291"/>
    <mergeCell ref="J292:J301"/>
    <mergeCell ref="J140:J145"/>
    <mergeCell ref="J146:J151"/>
    <mergeCell ref="J86:J91"/>
    <mergeCell ref="J92:J97"/>
    <mergeCell ref="J62:J67"/>
    <mergeCell ref="J104:J109"/>
    <mergeCell ref="J68:J73"/>
    <mergeCell ref="J116:J121"/>
    <mergeCell ref="J122:J127"/>
    <mergeCell ref="J128:J133"/>
    <mergeCell ref="J134:J13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Pengpeng</dc:creator>
  <cp:lastModifiedBy>凡 丁</cp:lastModifiedBy>
  <dcterms:created xsi:type="dcterms:W3CDTF">2023-09-14T05:51:00Z</dcterms:created>
  <dcterms:modified xsi:type="dcterms:W3CDTF">2024-10-18T10:02:31Z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06B775BA4812480AB98E0CDC5D0B8F1E_11</vt:lpwstr>
  </property>
  <property fmtid="{D5CDD505-2E9C-101B-9397-08002B2CF9AE}" pid="3" name="KSOProductBuildVer">
    <vt:lpwstr>2052-12.1.0.15374</vt:lpwstr>
  </property>
</Properties>
</file>